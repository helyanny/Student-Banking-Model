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yannyperozo/Desktop/Projects/DataAnalytics/BankingAnalysisProject/"/>
    </mc:Choice>
  </mc:AlternateContent>
  <xr:revisionPtr revIDLastSave="0" documentId="13_ncr:1_{F4E7DEEE-92E3-A44C-B4CF-F47CE4E909E5}" xr6:coauthVersionLast="47" xr6:coauthVersionMax="47" xr10:uidLastSave="{00000000-0000-0000-0000-000000000000}"/>
  <bookViews>
    <workbookView xWindow="0" yWindow="660" windowWidth="30240" windowHeight="17240" xr2:uid="{2AFE0A45-F99C-7041-8BE7-444657A25EB6}"/>
  </bookViews>
  <sheets>
    <sheet name="PlanAnalysisTables" sheetId="1" r:id="rId1"/>
    <sheet name="accounts_info" sheetId="5" r:id="rId2"/>
    <sheet name="fee_details" sheetId="4" r:id="rId3"/>
    <sheet name="student_profil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6" l="1"/>
  <c r="M5" i="6"/>
  <c r="M6" i="6"/>
  <c r="M7" i="6"/>
  <c r="M8" i="6"/>
  <c r="M9" i="6"/>
  <c r="M10" i="6"/>
  <c r="M3" i="6"/>
  <c r="M2" i="6"/>
  <c r="E4" i="6"/>
  <c r="E7" i="6"/>
  <c r="E10" i="6"/>
</calcChain>
</file>

<file path=xl/sharedStrings.xml><?xml version="1.0" encoding="utf-8"?>
<sst xmlns="http://schemas.openxmlformats.org/spreadsheetml/2006/main" count="477" uniqueCount="88">
  <si>
    <t>RBC</t>
  </si>
  <si>
    <t>TD</t>
  </si>
  <si>
    <t>BMO</t>
  </si>
  <si>
    <t>ScotiaBank</t>
  </si>
  <si>
    <t>CIBC</t>
  </si>
  <si>
    <t>Primary Chequing Account with Performance Plan</t>
  </si>
  <si>
    <t>Overdraft Protection Fees (Per Occurrence)</t>
  </si>
  <si>
    <t>NA</t>
  </si>
  <si>
    <t>Debit card purchases (if transaction limit exceeded)</t>
  </si>
  <si>
    <t>Withdrawal Fees if Included Transactions Exceeded (In-Branch)</t>
  </si>
  <si>
    <t>Primary Chequing Account with Plus Plan</t>
  </si>
  <si>
    <t>Withdrawal Fees if Included Transactions Exceeded (ATM)</t>
  </si>
  <si>
    <t>Transfer Fees if Included Transactions Exceeded (Online and Mobile)</t>
  </si>
  <si>
    <t>Bill Payment Fees Online and Mobile (if transaction limit exceeded)</t>
  </si>
  <si>
    <t>Primary Chequing Account with Premium Plan</t>
  </si>
  <si>
    <t>Primary Chequing Account with Blue Rewards Plan</t>
  </si>
  <si>
    <t>Transfer Fees if Included Transactions Exceeded (E-Transfer)</t>
  </si>
  <si>
    <t>Primary Chequing Account with Practical Plan</t>
  </si>
  <si>
    <t>CIBC Smart Account</t>
  </si>
  <si>
    <t>CIBC Everyday Chequing Account</t>
  </si>
  <si>
    <t>Up to 1 year Post-grad</t>
  </si>
  <si>
    <t>&lt; 25, no requirements, &gt; 25 Student ID until 6 months Post-grad</t>
  </si>
  <si>
    <t>RBC Advantage Banking</t>
  </si>
  <si>
    <t>&lt; 24 or Full-Time Student</t>
  </si>
  <si>
    <t>RBC Day to Day Banking</t>
  </si>
  <si>
    <t>RBC VIP Banking</t>
  </si>
  <si>
    <t>Preferred Package for Students and Youth</t>
  </si>
  <si>
    <t>&lt;25 or Full-Time Student</t>
  </si>
  <si>
    <t>Basic Bank Account</t>
  </si>
  <si>
    <t>Basic Plus Bank Account</t>
  </si>
  <si>
    <t>Preferred Package</t>
  </si>
  <si>
    <t>Ultimate Package</t>
  </si>
  <si>
    <t>TD Student Chequing Account</t>
  </si>
  <si>
    <t>&lt;23 or Full-Time Student</t>
  </si>
  <si>
    <t>TD Unlimited Chequing Account</t>
  </si>
  <si>
    <t>TD Everyday Chequing Account</t>
  </si>
  <si>
    <t>TD All-Inclusive Banking Plan</t>
  </si>
  <si>
    <t>common factors</t>
  </si>
  <si>
    <t>type</t>
  </si>
  <si>
    <t>chequing</t>
  </si>
  <si>
    <t>NSF fees</t>
  </si>
  <si>
    <t>RBC Signature No Limit Banking</t>
  </si>
  <si>
    <t>account_name</t>
  </si>
  <si>
    <t>account_id</t>
  </si>
  <si>
    <t>transaction_limit</t>
  </si>
  <si>
    <t>account_tier</t>
  </si>
  <si>
    <t>student_condition</t>
  </si>
  <si>
    <t>monthly_fee</t>
  </si>
  <si>
    <t>monthly_fee_student</t>
  </si>
  <si>
    <t>balance_waive_fee</t>
  </si>
  <si>
    <t>fee_type</t>
  </si>
  <si>
    <t>fee_amt</t>
  </si>
  <si>
    <t>interest</t>
  </si>
  <si>
    <t>bank</t>
  </si>
  <si>
    <t>regular</t>
  </si>
  <si>
    <t>regular with student discount</t>
  </si>
  <si>
    <t>student</t>
  </si>
  <si>
    <t>name</t>
  </si>
  <si>
    <t>age</t>
  </si>
  <si>
    <t>monthly_income</t>
  </si>
  <si>
    <t>id</t>
  </si>
  <si>
    <t>debit_purchases</t>
  </si>
  <si>
    <t>atm_withdrawals</t>
  </si>
  <si>
    <t>inbranch_withdrawals</t>
  </si>
  <si>
    <t>online_transfers</t>
  </si>
  <si>
    <t>e-transfers</t>
  </si>
  <si>
    <t>bill_payments</t>
  </si>
  <si>
    <t>avg_monthly_balance</t>
  </si>
  <si>
    <t>max_age</t>
  </si>
  <si>
    <t>&lt;= 25, no requirements, &gt; 25 Student ID until 6 months Post-grad</t>
  </si>
  <si>
    <t>&lt;= 24 or Full-Time Student</t>
  </si>
  <si>
    <t>&lt;= 25 or Full-Time Student</t>
  </si>
  <si>
    <t>&lt;= 23 or Full-Time Student</t>
  </si>
  <si>
    <t>access_period_postgrad (months)</t>
  </si>
  <si>
    <t>Luis</t>
  </si>
  <si>
    <t>Miguel</t>
  </si>
  <si>
    <t>Selena</t>
  </si>
  <si>
    <t>Talia</t>
  </si>
  <si>
    <t>Shakira</t>
  </si>
  <si>
    <t>Maluma</t>
  </si>
  <si>
    <t>status</t>
  </si>
  <si>
    <t>post-grad</t>
  </si>
  <si>
    <t>Rawayana</t>
  </si>
  <si>
    <t>Camilo</t>
  </si>
  <si>
    <t>Karol</t>
  </si>
  <si>
    <t>high schooler</t>
  </si>
  <si>
    <t>time_from_graduation (months)</t>
  </si>
  <si>
    <t>total_monthly_transactions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</si>
</sst>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1928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90" wrapText="1"/>
    </xf>
    <xf numFmtId="44" fontId="0" fillId="0" borderId="0" xfId="1" applyFont="1" applyAlignment="1">
      <alignment textRotation="90" wrapText="1"/>
    </xf>
    <xf numFmtId="44" fontId="0" fillId="0" borderId="0" xfId="1" applyFont="1"/>
    <xf numFmtId="44" fontId="0" fillId="0" borderId="0" xfId="1" applyFont="1" applyAlignment="1">
      <alignment textRotation="90"/>
    </xf>
    <xf numFmtId="0" fontId="0" fillId="0" borderId="0" xfId="2" applyNumberFormat="1" applyFont="1" applyAlignment="1">
      <alignment textRotation="90" wrapText="1"/>
    </xf>
    <xf numFmtId="0" fontId="0" fillId="0" borderId="0" xfId="2" applyNumberFormat="1" applyFont="1"/>
    <xf numFmtId="0" fontId="0" fillId="0" borderId="0" xfId="2" applyNumberFormat="1" applyFont="1" applyFill="1"/>
    <xf numFmtId="44" fontId="0" fillId="0" borderId="0" xfId="1" applyFont="1" applyFill="1"/>
    <xf numFmtId="0" fontId="2" fillId="0" borderId="0" xfId="0" applyFont="1"/>
    <xf numFmtId="2" fontId="0" fillId="0" borderId="0" xfId="0" applyNumberFormat="1" applyAlignment="1">
      <alignment textRotation="90" wrapText="1"/>
    </xf>
    <xf numFmtId="2" fontId="0" fillId="0" borderId="0" xfId="0" applyNumberFormat="1"/>
    <xf numFmtId="0" fontId="0" fillId="0" borderId="0" xfId="0" applyAlignment="1">
      <alignment textRotation="90"/>
    </xf>
    <xf numFmtId="0" fontId="3" fillId="0" borderId="0" xfId="0" applyFont="1"/>
    <xf numFmtId="44" fontId="0" fillId="0" borderId="0" xfId="1" applyFont="1" applyFill="1" applyAlignment="1"/>
    <xf numFmtId="44" fontId="0" fillId="0" borderId="0" xfId="1" applyFont="1" applyAlignment="1"/>
    <xf numFmtId="1" fontId="0" fillId="0" borderId="0" xfId="0" applyNumberFormat="1" applyAlignment="1">
      <alignment textRotation="90" wrapText="1"/>
    </xf>
    <xf numFmtId="1" fontId="0" fillId="0" borderId="0" xfId="0" applyNumberFormat="1"/>
    <xf numFmtId="0" fontId="0" fillId="0" borderId="0" xfId="2" applyNumberFormat="1" applyFont="1" applyAlignment="1">
      <alignment textRotation="90"/>
    </xf>
    <xf numFmtId="2" fontId="0" fillId="0" borderId="0" xfId="0" applyNumberFormat="1" applyAlignment="1">
      <alignment wrapText="1"/>
    </xf>
    <xf numFmtId="0" fontId="0" fillId="0" borderId="0" xfId="2" applyNumberFormat="1" applyFont="1" applyFill="1" applyAlignment="1">
      <alignment wrapText="1"/>
    </xf>
    <xf numFmtId="44" fontId="0" fillId="0" borderId="0" xfId="1" applyFont="1" applyFill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8E980"/>
      <color rgb="FFFF91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BC47-23EF-D14D-B87D-58FF7BB9C321}">
  <dimension ref="A1:W21"/>
  <sheetViews>
    <sheetView tabSelected="1" zoomScale="75" workbookViewId="0">
      <selection activeCell="V3" sqref="V3"/>
    </sheetView>
  </sheetViews>
  <sheetFormatPr baseColWidth="10" defaultRowHeight="16" x14ac:dyDescent="0.2"/>
  <cols>
    <col min="2" max="2" width="44" bestFit="1" customWidth="1"/>
    <col min="3" max="3" width="4" bestFit="1" customWidth="1"/>
    <col min="4" max="4" width="8.6640625" style="12" bestFit="1" customWidth="1"/>
    <col min="5" max="5" width="24.83203125" bestFit="1" customWidth="1"/>
    <col min="6" max="6" width="56.33203125" style="7" bestFit="1" customWidth="1"/>
    <col min="7" max="7" width="4" style="7" bestFit="1" customWidth="1"/>
    <col min="8" max="8" width="4" style="7" customWidth="1"/>
    <col min="9" max="10" width="8.83203125" style="4" bestFit="1" customWidth="1"/>
    <col min="11" max="11" width="11.5" style="4" bestFit="1" customWidth="1"/>
    <col min="12" max="15" width="9.33203125" style="4" bestFit="1" customWidth="1"/>
    <col min="16" max="16" width="7.6640625" style="4" bestFit="1" customWidth="1"/>
    <col min="17" max="18" width="9.33203125" style="4" bestFit="1" customWidth="1"/>
  </cols>
  <sheetData>
    <row r="1" spans="1:23" ht="182" x14ac:dyDescent="0.2">
      <c r="A1" s="13" t="s">
        <v>53</v>
      </c>
      <c r="B1" s="2" t="s">
        <v>42</v>
      </c>
      <c r="C1" s="2" t="s">
        <v>43</v>
      </c>
      <c r="D1" s="11" t="s">
        <v>44</v>
      </c>
      <c r="E1" s="6" t="s">
        <v>45</v>
      </c>
      <c r="F1" s="6" t="s">
        <v>46</v>
      </c>
      <c r="G1" s="6" t="s">
        <v>68</v>
      </c>
      <c r="H1" s="6" t="s">
        <v>73</v>
      </c>
      <c r="I1" s="3" t="s">
        <v>47</v>
      </c>
      <c r="J1" s="3" t="s">
        <v>48</v>
      </c>
      <c r="K1" s="3" t="s">
        <v>49</v>
      </c>
      <c r="L1" s="3" t="s">
        <v>9</v>
      </c>
      <c r="M1" s="3" t="s">
        <v>11</v>
      </c>
      <c r="N1" s="3" t="s">
        <v>12</v>
      </c>
      <c r="O1" s="3" t="s">
        <v>16</v>
      </c>
      <c r="P1" s="3" t="s">
        <v>6</v>
      </c>
      <c r="Q1" s="3" t="s">
        <v>8</v>
      </c>
      <c r="R1" s="3" t="s">
        <v>13</v>
      </c>
    </row>
    <row r="2" spans="1:23" x14ac:dyDescent="0.2">
      <c r="A2" t="s">
        <v>2</v>
      </c>
      <c r="B2" t="s">
        <v>15</v>
      </c>
      <c r="C2">
        <v>1</v>
      </c>
      <c r="D2" s="12">
        <v>9999</v>
      </c>
      <c r="E2" s="8" t="s">
        <v>54</v>
      </c>
      <c r="F2" s="8" t="s">
        <v>7</v>
      </c>
      <c r="G2" s="8" t="s">
        <v>7</v>
      </c>
      <c r="H2" s="8" t="s">
        <v>7</v>
      </c>
      <c r="I2" s="9">
        <v>17.95</v>
      </c>
      <c r="J2" s="9" t="s">
        <v>7</v>
      </c>
      <c r="K2" s="9" t="s">
        <v>7</v>
      </c>
      <c r="L2" s="9">
        <v>0</v>
      </c>
      <c r="M2" s="9">
        <v>0</v>
      </c>
      <c r="N2" s="9">
        <v>0</v>
      </c>
      <c r="O2" s="9">
        <v>0</v>
      </c>
      <c r="P2" s="9">
        <v>5</v>
      </c>
      <c r="Q2" s="9">
        <v>0</v>
      </c>
      <c r="R2" s="9">
        <v>0</v>
      </c>
    </row>
    <row r="3" spans="1:23" x14ac:dyDescent="0.2">
      <c r="A3" t="s">
        <v>2</v>
      </c>
      <c r="B3" t="s">
        <v>5</v>
      </c>
      <c r="C3">
        <v>2</v>
      </c>
      <c r="D3" s="12">
        <v>9999</v>
      </c>
      <c r="E3" s="8" t="s">
        <v>55</v>
      </c>
      <c r="F3" s="8" t="s">
        <v>20</v>
      </c>
      <c r="G3" s="8" t="s">
        <v>7</v>
      </c>
      <c r="H3" s="8">
        <v>12</v>
      </c>
      <c r="I3" s="9">
        <v>17.95</v>
      </c>
      <c r="J3" s="9">
        <v>0</v>
      </c>
      <c r="K3" s="9">
        <v>4000</v>
      </c>
      <c r="L3" s="9">
        <v>0</v>
      </c>
      <c r="M3" s="9">
        <v>0</v>
      </c>
      <c r="N3" s="9">
        <v>0</v>
      </c>
      <c r="O3" s="9">
        <v>0</v>
      </c>
      <c r="P3" s="9">
        <v>5</v>
      </c>
      <c r="Q3" s="9">
        <v>0</v>
      </c>
      <c r="R3" s="9">
        <v>0</v>
      </c>
      <c r="V3" t="s">
        <v>37</v>
      </c>
    </row>
    <row r="4" spans="1:23" x14ac:dyDescent="0.2">
      <c r="A4" t="s">
        <v>2</v>
      </c>
      <c r="B4" t="s">
        <v>10</v>
      </c>
      <c r="C4">
        <v>3</v>
      </c>
      <c r="D4" s="12">
        <v>25</v>
      </c>
      <c r="E4" s="8" t="s">
        <v>54</v>
      </c>
      <c r="F4" s="8" t="s">
        <v>7</v>
      </c>
      <c r="G4" s="8" t="s">
        <v>7</v>
      </c>
      <c r="H4" s="8" t="s">
        <v>7</v>
      </c>
      <c r="I4" s="9">
        <v>12.95</v>
      </c>
      <c r="J4" s="9" t="s">
        <v>7</v>
      </c>
      <c r="K4" s="9">
        <v>3000</v>
      </c>
      <c r="L4" s="9">
        <v>1.25</v>
      </c>
      <c r="M4" s="9">
        <v>1.25</v>
      </c>
      <c r="N4" s="9">
        <v>1.25</v>
      </c>
      <c r="O4" s="9">
        <v>0</v>
      </c>
      <c r="P4" s="9">
        <v>5</v>
      </c>
      <c r="Q4" s="9">
        <v>1.25</v>
      </c>
      <c r="R4" s="9">
        <v>1.25</v>
      </c>
      <c r="V4" t="s">
        <v>38</v>
      </c>
      <c r="W4" t="s">
        <v>39</v>
      </c>
    </row>
    <row r="5" spans="1:23" x14ac:dyDescent="0.2">
      <c r="A5" t="s">
        <v>2</v>
      </c>
      <c r="B5" s="10" t="s">
        <v>17</v>
      </c>
      <c r="C5" s="10">
        <v>4</v>
      </c>
      <c r="D5" s="12">
        <v>12</v>
      </c>
      <c r="E5" s="8" t="s">
        <v>54</v>
      </c>
      <c r="F5" s="8" t="s">
        <v>7</v>
      </c>
      <c r="G5" s="8" t="s">
        <v>7</v>
      </c>
      <c r="H5" s="8" t="s">
        <v>7</v>
      </c>
      <c r="I5" s="9">
        <v>4</v>
      </c>
      <c r="J5" s="9" t="s">
        <v>7</v>
      </c>
      <c r="K5" s="9" t="s">
        <v>7</v>
      </c>
      <c r="L5" s="9">
        <v>1.25</v>
      </c>
      <c r="M5" s="9">
        <v>1.25</v>
      </c>
      <c r="N5" s="9">
        <v>1.25</v>
      </c>
      <c r="O5" s="9">
        <v>0</v>
      </c>
      <c r="P5" s="9">
        <v>5</v>
      </c>
      <c r="Q5" s="9">
        <v>1.25</v>
      </c>
      <c r="R5" s="9">
        <v>1.25</v>
      </c>
      <c r="V5" t="s">
        <v>40</v>
      </c>
      <c r="W5">
        <v>10</v>
      </c>
    </row>
    <row r="6" spans="1:23" x14ac:dyDescent="0.2">
      <c r="A6" t="s">
        <v>2</v>
      </c>
      <c r="B6" t="s">
        <v>14</v>
      </c>
      <c r="C6">
        <v>5</v>
      </c>
      <c r="D6" s="12">
        <v>9999</v>
      </c>
      <c r="E6" s="8" t="s">
        <v>55</v>
      </c>
      <c r="F6" s="8" t="s">
        <v>20</v>
      </c>
      <c r="G6" s="8" t="s">
        <v>7</v>
      </c>
      <c r="H6" s="8">
        <v>12</v>
      </c>
      <c r="I6" s="9">
        <v>30.95</v>
      </c>
      <c r="J6" s="9">
        <v>13</v>
      </c>
      <c r="K6" s="9">
        <v>6000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V6" t="s">
        <v>52</v>
      </c>
      <c r="W6">
        <v>0</v>
      </c>
    </row>
    <row r="7" spans="1:23" x14ac:dyDescent="0.2">
      <c r="A7" t="s">
        <v>4</v>
      </c>
      <c r="B7" t="s">
        <v>18</v>
      </c>
      <c r="C7">
        <v>6</v>
      </c>
      <c r="D7" s="12">
        <v>9999</v>
      </c>
      <c r="E7" s="8" t="s">
        <v>55</v>
      </c>
      <c r="F7" s="8" t="s">
        <v>69</v>
      </c>
      <c r="G7" s="8">
        <v>25</v>
      </c>
      <c r="H7" s="8">
        <v>6</v>
      </c>
      <c r="I7" s="9">
        <v>16.95</v>
      </c>
      <c r="J7" s="9">
        <v>0</v>
      </c>
      <c r="K7" s="9">
        <v>4000</v>
      </c>
      <c r="L7" s="9">
        <v>0</v>
      </c>
      <c r="M7" s="9">
        <v>0</v>
      </c>
      <c r="N7" s="9">
        <v>0</v>
      </c>
      <c r="O7" s="9">
        <v>0</v>
      </c>
      <c r="P7" s="9">
        <v>5</v>
      </c>
      <c r="Q7" s="9">
        <v>0</v>
      </c>
      <c r="R7" s="9">
        <v>0</v>
      </c>
    </row>
    <row r="8" spans="1:23" x14ac:dyDescent="0.2">
      <c r="A8" t="s">
        <v>4</v>
      </c>
      <c r="B8" t="s">
        <v>19</v>
      </c>
      <c r="C8">
        <v>7</v>
      </c>
      <c r="D8" s="12">
        <v>18</v>
      </c>
      <c r="E8" s="8" t="s">
        <v>54</v>
      </c>
      <c r="F8" s="8" t="s">
        <v>7</v>
      </c>
      <c r="G8" s="8" t="s">
        <v>7</v>
      </c>
      <c r="H8" s="8" t="s">
        <v>7</v>
      </c>
      <c r="I8" s="9">
        <v>4</v>
      </c>
      <c r="J8" s="9" t="s">
        <v>7</v>
      </c>
      <c r="K8" s="9" t="s">
        <v>7</v>
      </c>
      <c r="L8" s="9">
        <v>1.25</v>
      </c>
      <c r="M8" s="9">
        <v>1.25</v>
      </c>
      <c r="N8" s="9">
        <v>1.25</v>
      </c>
      <c r="O8" s="9">
        <v>1.25</v>
      </c>
      <c r="P8" s="9">
        <v>5</v>
      </c>
      <c r="Q8" s="9">
        <v>1.25</v>
      </c>
      <c r="R8" s="9">
        <v>1.25</v>
      </c>
    </row>
    <row r="9" spans="1:23" x14ac:dyDescent="0.2">
      <c r="A9" t="s">
        <v>0</v>
      </c>
      <c r="B9" t="s">
        <v>22</v>
      </c>
      <c r="C9">
        <v>8</v>
      </c>
      <c r="D9" s="12">
        <v>9999</v>
      </c>
      <c r="E9" s="8" t="s">
        <v>55</v>
      </c>
      <c r="F9" s="8" t="s">
        <v>70</v>
      </c>
      <c r="G9" s="8">
        <v>24</v>
      </c>
      <c r="H9" s="8">
        <v>0</v>
      </c>
      <c r="I9" s="9">
        <v>12.95</v>
      </c>
      <c r="J9" s="9">
        <v>0</v>
      </c>
      <c r="K9" s="9" t="s">
        <v>7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</row>
    <row r="10" spans="1:23" x14ac:dyDescent="0.2">
      <c r="A10" t="s">
        <v>0</v>
      </c>
      <c r="B10" t="s">
        <v>24</v>
      </c>
      <c r="C10">
        <v>9</v>
      </c>
      <c r="D10" s="12">
        <v>12</v>
      </c>
      <c r="E10" s="8" t="s">
        <v>54</v>
      </c>
      <c r="F10" s="8" t="s">
        <v>7</v>
      </c>
      <c r="G10" s="8" t="s">
        <v>7</v>
      </c>
      <c r="H10" s="8" t="s">
        <v>7</v>
      </c>
      <c r="I10" s="9">
        <v>4</v>
      </c>
      <c r="J10" s="9" t="s">
        <v>7</v>
      </c>
      <c r="K10" s="9" t="s">
        <v>7</v>
      </c>
      <c r="L10" s="9">
        <v>1.25</v>
      </c>
      <c r="M10" s="9">
        <v>1.25</v>
      </c>
      <c r="N10" s="9">
        <v>1.25</v>
      </c>
      <c r="O10" s="9">
        <v>0</v>
      </c>
      <c r="P10" s="9">
        <v>0</v>
      </c>
      <c r="Q10" s="9">
        <v>1.25</v>
      </c>
      <c r="R10" s="9">
        <v>1.25</v>
      </c>
    </row>
    <row r="11" spans="1:23" x14ac:dyDescent="0.2">
      <c r="A11" t="s">
        <v>0</v>
      </c>
      <c r="B11" t="s">
        <v>41</v>
      </c>
      <c r="C11">
        <v>10</v>
      </c>
      <c r="D11" s="12">
        <v>9999</v>
      </c>
      <c r="E11" s="8" t="s">
        <v>54</v>
      </c>
      <c r="F11" s="8" t="s">
        <v>7</v>
      </c>
      <c r="G11" s="8" t="s">
        <v>7</v>
      </c>
      <c r="H11" s="8" t="s">
        <v>7</v>
      </c>
      <c r="I11" s="9">
        <v>16.95</v>
      </c>
      <c r="J11" s="9" t="s">
        <v>7</v>
      </c>
      <c r="K11" s="9" t="s">
        <v>7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</row>
    <row r="12" spans="1:23" x14ac:dyDescent="0.2">
      <c r="A12" t="s">
        <v>0</v>
      </c>
      <c r="B12" t="s">
        <v>25</v>
      </c>
      <c r="C12">
        <v>11</v>
      </c>
      <c r="D12" s="12">
        <v>9999</v>
      </c>
      <c r="E12" s="8" t="s">
        <v>54</v>
      </c>
      <c r="F12" s="8" t="s">
        <v>7</v>
      </c>
      <c r="G12" s="8" t="s">
        <v>7</v>
      </c>
      <c r="H12" s="8" t="s">
        <v>7</v>
      </c>
      <c r="I12" s="9">
        <v>30</v>
      </c>
      <c r="J12" s="9" t="s">
        <v>7</v>
      </c>
      <c r="K12" s="9" t="s">
        <v>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23" x14ac:dyDescent="0.2">
      <c r="A13" t="s">
        <v>3</v>
      </c>
      <c r="B13" t="s">
        <v>26</v>
      </c>
      <c r="C13">
        <v>12</v>
      </c>
      <c r="D13" s="12">
        <v>9999</v>
      </c>
      <c r="E13" s="8" t="s">
        <v>56</v>
      </c>
      <c r="F13" s="8" t="s">
        <v>71</v>
      </c>
      <c r="G13" s="8">
        <v>25</v>
      </c>
      <c r="H13" s="8">
        <v>0</v>
      </c>
      <c r="I13" s="9">
        <v>0</v>
      </c>
      <c r="J13" s="9">
        <v>0</v>
      </c>
      <c r="K13" s="9" t="s">
        <v>7</v>
      </c>
      <c r="L13" s="9">
        <v>0</v>
      </c>
      <c r="M13" s="9">
        <v>0</v>
      </c>
      <c r="N13" s="9">
        <v>0</v>
      </c>
      <c r="O13" s="9">
        <v>0</v>
      </c>
      <c r="P13" s="9">
        <v>5</v>
      </c>
      <c r="Q13" s="9">
        <v>0</v>
      </c>
      <c r="R13" s="9">
        <v>0</v>
      </c>
    </row>
    <row r="14" spans="1:23" ht="17" x14ac:dyDescent="0.2">
      <c r="A14" s="1" t="s">
        <v>3</v>
      </c>
      <c r="B14" s="1" t="s">
        <v>28</v>
      </c>
      <c r="C14" s="1">
        <v>13</v>
      </c>
      <c r="D14" s="20">
        <v>18</v>
      </c>
      <c r="E14" s="8" t="s">
        <v>54</v>
      </c>
      <c r="F14" s="21" t="s">
        <v>7</v>
      </c>
      <c r="G14" s="21" t="s">
        <v>7</v>
      </c>
      <c r="H14" s="21" t="s">
        <v>7</v>
      </c>
      <c r="I14" s="22">
        <v>3.95</v>
      </c>
      <c r="J14" s="22" t="s">
        <v>7</v>
      </c>
      <c r="K14" s="22" t="s">
        <v>7</v>
      </c>
      <c r="L14" s="22">
        <v>1.25</v>
      </c>
      <c r="M14" s="22">
        <v>1.25</v>
      </c>
      <c r="N14" s="22">
        <v>0</v>
      </c>
      <c r="O14" s="22">
        <v>0</v>
      </c>
      <c r="P14" s="22">
        <v>5</v>
      </c>
      <c r="Q14" s="22">
        <v>1.25</v>
      </c>
      <c r="R14" s="22">
        <v>1.25</v>
      </c>
    </row>
    <row r="15" spans="1:23" x14ac:dyDescent="0.2">
      <c r="A15" t="s">
        <v>3</v>
      </c>
      <c r="B15" t="s">
        <v>29</v>
      </c>
      <c r="C15">
        <v>14</v>
      </c>
      <c r="D15" s="12">
        <v>25</v>
      </c>
      <c r="E15" s="7" t="s">
        <v>54</v>
      </c>
      <c r="F15" s="8" t="s">
        <v>7</v>
      </c>
      <c r="G15" s="8" t="s">
        <v>7</v>
      </c>
      <c r="H15" s="8" t="s">
        <v>7</v>
      </c>
      <c r="I15" s="16">
        <v>11.95</v>
      </c>
      <c r="J15" s="16" t="s">
        <v>7</v>
      </c>
      <c r="K15" s="16">
        <v>3000</v>
      </c>
      <c r="L15" s="4">
        <v>1.25</v>
      </c>
      <c r="M15" s="4">
        <v>1.25</v>
      </c>
      <c r="N15" s="4">
        <v>0</v>
      </c>
      <c r="O15" s="4">
        <v>0</v>
      </c>
      <c r="P15" s="4">
        <v>5</v>
      </c>
      <c r="Q15" s="4">
        <v>1.25</v>
      </c>
      <c r="R15" s="4">
        <v>1.25</v>
      </c>
    </row>
    <row r="16" spans="1:23" x14ac:dyDescent="0.2">
      <c r="A16" t="s">
        <v>3</v>
      </c>
      <c r="B16" t="s">
        <v>30</v>
      </c>
      <c r="C16">
        <v>15</v>
      </c>
      <c r="D16" s="12">
        <v>9999</v>
      </c>
      <c r="E16" s="7" t="s">
        <v>54</v>
      </c>
      <c r="F16" s="8" t="s">
        <v>7</v>
      </c>
      <c r="G16" s="8" t="s">
        <v>7</v>
      </c>
      <c r="H16" s="8" t="s">
        <v>7</v>
      </c>
      <c r="I16" s="16">
        <v>16.95</v>
      </c>
      <c r="J16" s="16" t="s">
        <v>7</v>
      </c>
      <c r="K16" s="16">
        <v>4000</v>
      </c>
      <c r="L16" s="4">
        <v>0</v>
      </c>
      <c r="M16" s="4">
        <v>0</v>
      </c>
      <c r="N16" s="4">
        <v>0</v>
      </c>
      <c r="O16" s="4">
        <v>0</v>
      </c>
      <c r="P16" s="4">
        <v>5</v>
      </c>
      <c r="Q16" s="4">
        <v>0</v>
      </c>
      <c r="R16" s="4">
        <v>0</v>
      </c>
    </row>
    <row r="17" spans="1:18" x14ac:dyDescent="0.2">
      <c r="A17" t="s">
        <v>3</v>
      </c>
      <c r="B17" t="s">
        <v>31</v>
      </c>
      <c r="C17">
        <v>16</v>
      </c>
      <c r="D17" s="12">
        <v>9999</v>
      </c>
      <c r="E17" s="7" t="s">
        <v>54</v>
      </c>
      <c r="F17" s="8" t="s">
        <v>7</v>
      </c>
      <c r="G17" s="8" t="s">
        <v>7</v>
      </c>
      <c r="H17" s="8" t="s">
        <v>7</v>
      </c>
      <c r="I17" s="16">
        <v>30.95</v>
      </c>
      <c r="J17" s="16" t="s">
        <v>7</v>
      </c>
      <c r="K17" s="16">
        <v>6000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</row>
    <row r="18" spans="1:18" x14ac:dyDescent="0.2">
      <c r="A18" t="s">
        <v>1</v>
      </c>
      <c r="B18" t="s">
        <v>32</v>
      </c>
      <c r="C18">
        <v>17</v>
      </c>
      <c r="D18" s="12">
        <v>9999</v>
      </c>
      <c r="E18" s="7" t="s">
        <v>56</v>
      </c>
      <c r="F18" s="7" t="s">
        <v>72</v>
      </c>
      <c r="G18" s="7">
        <v>23</v>
      </c>
      <c r="H18" s="7">
        <v>0</v>
      </c>
      <c r="I18" s="4">
        <v>0</v>
      </c>
      <c r="J18" s="4">
        <v>0</v>
      </c>
      <c r="K18" s="4" t="s">
        <v>7</v>
      </c>
      <c r="L18" s="4">
        <v>0</v>
      </c>
      <c r="M18" s="4">
        <v>0</v>
      </c>
      <c r="N18" s="4">
        <v>0</v>
      </c>
      <c r="O18" s="4">
        <v>0</v>
      </c>
      <c r="P18" s="4">
        <v>5</v>
      </c>
      <c r="Q18" s="4">
        <v>0</v>
      </c>
      <c r="R18" s="4">
        <v>0</v>
      </c>
    </row>
    <row r="19" spans="1:18" x14ac:dyDescent="0.2">
      <c r="A19" t="s">
        <v>1</v>
      </c>
      <c r="B19" t="s">
        <v>35</v>
      </c>
      <c r="C19">
        <v>18</v>
      </c>
      <c r="D19" s="12">
        <v>25</v>
      </c>
      <c r="E19" s="7" t="s">
        <v>54</v>
      </c>
      <c r="F19" s="7" t="s">
        <v>7</v>
      </c>
      <c r="G19" s="7" t="s">
        <v>7</v>
      </c>
      <c r="H19" s="7" t="s">
        <v>7</v>
      </c>
      <c r="I19" s="4">
        <v>11.95</v>
      </c>
      <c r="J19" s="4" t="s">
        <v>7</v>
      </c>
      <c r="K19" s="4">
        <v>3000</v>
      </c>
      <c r="L19" s="4">
        <v>1.25</v>
      </c>
      <c r="M19" s="4">
        <v>1.25</v>
      </c>
      <c r="N19" s="4">
        <v>1.25</v>
      </c>
      <c r="O19" s="4">
        <v>0</v>
      </c>
      <c r="P19" s="4">
        <v>5</v>
      </c>
      <c r="Q19" s="4">
        <v>1.25</v>
      </c>
      <c r="R19" s="4">
        <v>1.25</v>
      </c>
    </row>
    <row r="20" spans="1:18" x14ac:dyDescent="0.2">
      <c r="A20" t="s">
        <v>1</v>
      </c>
      <c r="B20" t="s">
        <v>34</v>
      </c>
      <c r="C20">
        <v>19</v>
      </c>
      <c r="D20" s="12">
        <v>9999</v>
      </c>
      <c r="E20" s="7" t="s">
        <v>54</v>
      </c>
      <c r="F20" s="7" t="s">
        <v>7</v>
      </c>
      <c r="G20" s="7" t="s">
        <v>7</v>
      </c>
      <c r="H20" s="7" t="s">
        <v>7</v>
      </c>
      <c r="I20" s="4">
        <v>17.95</v>
      </c>
      <c r="J20" s="4" t="s">
        <v>7</v>
      </c>
      <c r="K20" s="4">
        <v>4000</v>
      </c>
      <c r="L20" s="4">
        <v>0</v>
      </c>
      <c r="M20" s="4">
        <v>0</v>
      </c>
      <c r="N20" s="4">
        <v>0</v>
      </c>
      <c r="O20" s="4">
        <v>0</v>
      </c>
      <c r="P20" s="4">
        <v>5</v>
      </c>
      <c r="Q20" s="4">
        <v>0</v>
      </c>
      <c r="R20" s="4">
        <v>0</v>
      </c>
    </row>
    <row r="21" spans="1:18" x14ac:dyDescent="0.2">
      <c r="A21" t="s">
        <v>1</v>
      </c>
      <c r="B21" t="s">
        <v>36</v>
      </c>
      <c r="C21">
        <v>20</v>
      </c>
      <c r="D21" s="12">
        <v>9999</v>
      </c>
      <c r="E21" s="7" t="s">
        <v>54</v>
      </c>
      <c r="F21" s="7" t="s">
        <v>7</v>
      </c>
      <c r="G21" s="7" t="s">
        <v>7</v>
      </c>
      <c r="H21" s="7" t="s">
        <v>7</v>
      </c>
      <c r="I21" s="4">
        <v>30.95</v>
      </c>
      <c r="J21" s="4" t="s">
        <v>7</v>
      </c>
      <c r="K21" s="4">
        <v>6000</v>
      </c>
      <c r="L21" s="4">
        <v>0</v>
      </c>
      <c r="M21" s="4">
        <v>0</v>
      </c>
      <c r="N21" s="4">
        <v>0</v>
      </c>
      <c r="O21" s="4">
        <v>0</v>
      </c>
      <c r="P21" s="4">
        <v>5</v>
      </c>
      <c r="Q21" s="4">
        <v>0</v>
      </c>
      <c r="R21" s="4">
        <v>0</v>
      </c>
    </row>
  </sheetData>
  <sortState xmlns:xlrd2="http://schemas.microsoft.com/office/spreadsheetml/2017/richdata2" ref="B2:R6">
    <sortCondition ref="B2:B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7873-F4E9-9446-8DA5-09DC10D49D03}">
  <dimension ref="A1:K21"/>
  <sheetViews>
    <sheetView workbookViewId="0">
      <selection activeCell="M15" sqref="M15"/>
    </sheetView>
  </sheetViews>
  <sheetFormatPr baseColWidth="10" defaultRowHeight="16" x14ac:dyDescent="0.2"/>
  <cols>
    <col min="1" max="1" width="3.6640625" bestFit="1" customWidth="1"/>
    <col min="2" max="2" width="10.33203125" bestFit="1" customWidth="1"/>
    <col min="3" max="3" width="42.33203125" bestFit="1" customWidth="1"/>
    <col min="4" max="4" width="7.6640625" style="18" bestFit="1" customWidth="1"/>
    <col min="5" max="5" width="24.83203125" bestFit="1" customWidth="1"/>
    <col min="6" max="6" width="52.5" bestFit="1" customWidth="1"/>
    <col min="7" max="7" width="4" style="7" bestFit="1" customWidth="1"/>
    <col min="8" max="8" width="4" style="7" customWidth="1"/>
    <col min="9" max="9" width="8" bestFit="1" customWidth="1"/>
    <col min="10" max="10" width="9" bestFit="1" customWidth="1"/>
    <col min="11" max="11" width="10.5" bestFit="1" customWidth="1"/>
  </cols>
  <sheetData>
    <row r="1" spans="1:11" ht="174" x14ac:dyDescent="0.2">
      <c r="A1" s="2" t="s">
        <v>43</v>
      </c>
      <c r="B1" s="2" t="s">
        <v>53</v>
      </c>
      <c r="C1" s="2" t="s">
        <v>42</v>
      </c>
      <c r="D1" s="17" t="s">
        <v>44</v>
      </c>
      <c r="E1" s="6" t="s">
        <v>45</v>
      </c>
      <c r="F1" s="19" t="s">
        <v>46</v>
      </c>
      <c r="G1" s="6" t="s">
        <v>68</v>
      </c>
      <c r="H1" s="6" t="s">
        <v>73</v>
      </c>
      <c r="I1" s="3" t="s">
        <v>47</v>
      </c>
      <c r="J1" s="5" t="s">
        <v>48</v>
      </c>
      <c r="K1" s="5" t="s">
        <v>49</v>
      </c>
    </row>
    <row r="2" spans="1:11" x14ac:dyDescent="0.2">
      <c r="A2">
        <v>1</v>
      </c>
      <c r="B2" t="s">
        <v>2</v>
      </c>
      <c r="C2" t="s">
        <v>15</v>
      </c>
      <c r="D2" s="18">
        <v>9999</v>
      </c>
      <c r="E2" s="8" t="s">
        <v>54</v>
      </c>
      <c r="F2" s="8" t="s">
        <v>7</v>
      </c>
      <c r="G2" s="8" t="s">
        <v>7</v>
      </c>
      <c r="H2" s="8" t="s">
        <v>7</v>
      </c>
      <c r="I2" s="9">
        <v>17.95</v>
      </c>
      <c r="J2" s="9" t="s">
        <v>7</v>
      </c>
      <c r="K2" s="9" t="s">
        <v>7</v>
      </c>
    </row>
    <row r="3" spans="1:11" x14ac:dyDescent="0.2">
      <c r="A3">
        <v>2</v>
      </c>
      <c r="B3" t="s">
        <v>2</v>
      </c>
      <c r="C3" t="s">
        <v>5</v>
      </c>
      <c r="D3" s="18">
        <v>9999</v>
      </c>
      <c r="E3" s="8" t="s">
        <v>55</v>
      </c>
      <c r="F3" s="8" t="s">
        <v>20</v>
      </c>
      <c r="G3" s="8" t="s">
        <v>7</v>
      </c>
      <c r="H3" s="8">
        <v>12</v>
      </c>
      <c r="I3" s="9">
        <v>17.95</v>
      </c>
      <c r="J3" s="9">
        <v>0</v>
      </c>
      <c r="K3" s="9">
        <v>4000</v>
      </c>
    </row>
    <row r="4" spans="1:11" x14ac:dyDescent="0.2">
      <c r="A4">
        <v>3</v>
      </c>
      <c r="B4" t="s">
        <v>2</v>
      </c>
      <c r="C4" t="s">
        <v>10</v>
      </c>
      <c r="D4" s="18">
        <v>25</v>
      </c>
      <c r="E4" s="8" t="s">
        <v>54</v>
      </c>
      <c r="F4" s="8" t="s">
        <v>7</v>
      </c>
      <c r="G4" s="8" t="s">
        <v>7</v>
      </c>
      <c r="H4" s="8" t="s">
        <v>7</v>
      </c>
      <c r="I4" s="9">
        <v>12.95</v>
      </c>
      <c r="J4" s="9" t="s">
        <v>7</v>
      </c>
      <c r="K4" s="9">
        <v>3000</v>
      </c>
    </row>
    <row r="5" spans="1:11" x14ac:dyDescent="0.2">
      <c r="A5" s="10">
        <v>4</v>
      </c>
      <c r="B5" t="s">
        <v>2</v>
      </c>
      <c r="C5" s="10" t="s">
        <v>17</v>
      </c>
      <c r="D5" s="18">
        <v>12</v>
      </c>
      <c r="E5" s="8" t="s">
        <v>54</v>
      </c>
      <c r="F5" s="8" t="s">
        <v>7</v>
      </c>
      <c r="G5" s="8" t="s">
        <v>7</v>
      </c>
      <c r="H5" s="8" t="s">
        <v>7</v>
      </c>
      <c r="I5" s="9">
        <v>4</v>
      </c>
      <c r="J5" s="9" t="s">
        <v>7</v>
      </c>
      <c r="K5" s="9" t="s">
        <v>7</v>
      </c>
    </row>
    <row r="6" spans="1:11" x14ac:dyDescent="0.2">
      <c r="A6">
        <v>5</v>
      </c>
      <c r="B6" t="s">
        <v>2</v>
      </c>
      <c r="C6" t="s">
        <v>14</v>
      </c>
      <c r="D6" s="18">
        <v>9999</v>
      </c>
      <c r="E6" s="8" t="s">
        <v>55</v>
      </c>
      <c r="F6" s="8" t="s">
        <v>20</v>
      </c>
      <c r="G6" s="8" t="s">
        <v>7</v>
      </c>
      <c r="H6" s="8">
        <v>12</v>
      </c>
      <c r="I6" s="9">
        <v>30.95</v>
      </c>
      <c r="J6" s="9">
        <v>13</v>
      </c>
      <c r="K6" s="9">
        <v>6000</v>
      </c>
    </row>
    <row r="7" spans="1:11" x14ac:dyDescent="0.2">
      <c r="A7">
        <v>6</v>
      </c>
      <c r="B7" t="s">
        <v>4</v>
      </c>
      <c r="C7" t="s">
        <v>18</v>
      </c>
      <c r="D7" s="18">
        <v>9999</v>
      </c>
      <c r="E7" s="8" t="s">
        <v>55</v>
      </c>
      <c r="F7" s="8" t="s">
        <v>21</v>
      </c>
      <c r="G7" s="8">
        <v>25</v>
      </c>
      <c r="H7" s="8">
        <v>6</v>
      </c>
      <c r="I7" s="9">
        <v>16.95</v>
      </c>
      <c r="J7" s="9">
        <v>0</v>
      </c>
      <c r="K7" s="9">
        <v>4000</v>
      </c>
    </row>
    <row r="8" spans="1:11" x14ac:dyDescent="0.2">
      <c r="A8">
        <v>7</v>
      </c>
      <c r="B8" t="s">
        <v>4</v>
      </c>
      <c r="C8" t="s">
        <v>19</v>
      </c>
      <c r="D8" s="18">
        <v>18</v>
      </c>
      <c r="E8" s="8" t="s">
        <v>54</v>
      </c>
      <c r="F8" s="8" t="s">
        <v>7</v>
      </c>
      <c r="G8" s="8" t="s">
        <v>7</v>
      </c>
      <c r="H8" s="8" t="s">
        <v>7</v>
      </c>
      <c r="I8" s="9">
        <v>4</v>
      </c>
      <c r="J8" s="9" t="s">
        <v>7</v>
      </c>
      <c r="K8" s="9" t="s">
        <v>7</v>
      </c>
    </row>
    <row r="9" spans="1:11" x14ac:dyDescent="0.2">
      <c r="A9">
        <v>8</v>
      </c>
      <c r="B9" t="s">
        <v>0</v>
      </c>
      <c r="C9" t="s">
        <v>22</v>
      </c>
      <c r="D9" s="18">
        <v>9999</v>
      </c>
      <c r="E9" s="8" t="s">
        <v>55</v>
      </c>
      <c r="F9" s="8" t="s">
        <v>23</v>
      </c>
      <c r="G9" s="8">
        <v>24</v>
      </c>
      <c r="H9" s="8">
        <v>0</v>
      </c>
      <c r="I9" s="9">
        <v>12.95</v>
      </c>
      <c r="J9" s="9">
        <v>0</v>
      </c>
      <c r="K9" s="9" t="s">
        <v>7</v>
      </c>
    </row>
    <row r="10" spans="1:11" x14ac:dyDescent="0.2">
      <c r="A10">
        <v>9</v>
      </c>
      <c r="B10" t="s">
        <v>0</v>
      </c>
      <c r="C10" t="s">
        <v>24</v>
      </c>
      <c r="D10" s="18">
        <v>12</v>
      </c>
      <c r="E10" s="8" t="s">
        <v>54</v>
      </c>
      <c r="F10" s="8" t="s">
        <v>7</v>
      </c>
      <c r="G10" s="8" t="s">
        <v>7</v>
      </c>
      <c r="H10" s="8" t="s">
        <v>7</v>
      </c>
      <c r="I10" s="9">
        <v>4</v>
      </c>
      <c r="J10" s="9" t="s">
        <v>7</v>
      </c>
      <c r="K10" s="9" t="s">
        <v>7</v>
      </c>
    </row>
    <row r="11" spans="1:11" x14ac:dyDescent="0.2">
      <c r="A11">
        <v>10</v>
      </c>
      <c r="B11" t="s">
        <v>0</v>
      </c>
      <c r="C11" t="s">
        <v>41</v>
      </c>
      <c r="D11" s="18">
        <v>9999</v>
      </c>
      <c r="E11" s="8" t="s">
        <v>54</v>
      </c>
      <c r="F11" s="8" t="s">
        <v>7</v>
      </c>
      <c r="G11" s="8" t="s">
        <v>7</v>
      </c>
      <c r="H11" s="8" t="s">
        <v>7</v>
      </c>
      <c r="I11" s="9">
        <v>16.95</v>
      </c>
      <c r="J11" s="9" t="s">
        <v>7</v>
      </c>
      <c r="K11" s="9" t="s">
        <v>7</v>
      </c>
    </row>
    <row r="12" spans="1:11" x14ac:dyDescent="0.2">
      <c r="A12">
        <v>11</v>
      </c>
      <c r="B12" t="s">
        <v>0</v>
      </c>
      <c r="C12" t="s">
        <v>25</v>
      </c>
      <c r="D12" s="18">
        <v>9999</v>
      </c>
      <c r="E12" s="8" t="s">
        <v>54</v>
      </c>
      <c r="F12" s="8" t="s">
        <v>7</v>
      </c>
      <c r="G12" s="8" t="s">
        <v>7</v>
      </c>
      <c r="H12" s="8" t="s">
        <v>7</v>
      </c>
      <c r="I12" s="9">
        <v>30</v>
      </c>
      <c r="J12" s="9" t="s">
        <v>7</v>
      </c>
      <c r="K12" s="9" t="s">
        <v>7</v>
      </c>
    </row>
    <row r="13" spans="1:11" x14ac:dyDescent="0.2">
      <c r="A13">
        <v>12</v>
      </c>
      <c r="B13" t="s">
        <v>3</v>
      </c>
      <c r="C13" t="s">
        <v>26</v>
      </c>
      <c r="D13" s="18">
        <v>9999</v>
      </c>
      <c r="E13" s="8" t="s">
        <v>56</v>
      </c>
      <c r="F13" s="8" t="s">
        <v>27</v>
      </c>
      <c r="G13" s="8">
        <v>25</v>
      </c>
      <c r="H13" s="8">
        <v>0</v>
      </c>
      <c r="I13" s="9">
        <v>0</v>
      </c>
      <c r="J13" s="9">
        <v>0</v>
      </c>
      <c r="K13" s="9" t="s">
        <v>7</v>
      </c>
    </row>
    <row r="14" spans="1:11" ht="17" x14ac:dyDescent="0.2">
      <c r="A14">
        <v>13</v>
      </c>
      <c r="B14" t="s">
        <v>3</v>
      </c>
      <c r="C14" t="s">
        <v>28</v>
      </c>
      <c r="D14" s="18">
        <v>18</v>
      </c>
      <c r="E14" s="8" t="s">
        <v>54</v>
      </c>
      <c r="F14" s="8" t="s">
        <v>7</v>
      </c>
      <c r="G14" s="21" t="s">
        <v>7</v>
      </c>
      <c r="H14" s="21" t="s">
        <v>7</v>
      </c>
      <c r="I14" s="15">
        <v>3.95</v>
      </c>
      <c r="J14" s="15" t="s">
        <v>7</v>
      </c>
      <c r="K14" s="9" t="s">
        <v>7</v>
      </c>
    </row>
    <row r="15" spans="1:11" ht="17" x14ac:dyDescent="0.2">
      <c r="A15">
        <v>14</v>
      </c>
      <c r="B15" t="s">
        <v>3</v>
      </c>
      <c r="C15" t="s">
        <v>29</v>
      </c>
      <c r="D15" s="18">
        <v>25</v>
      </c>
      <c r="E15" s="7" t="s">
        <v>54</v>
      </c>
      <c r="F15" s="8" t="s">
        <v>7</v>
      </c>
      <c r="G15" s="21" t="s">
        <v>7</v>
      </c>
      <c r="H15" s="21" t="s">
        <v>7</v>
      </c>
      <c r="I15" s="16">
        <v>11.95</v>
      </c>
      <c r="J15" s="15" t="s">
        <v>7</v>
      </c>
      <c r="K15" s="16">
        <v>3000</v>
      </c>
    </row>
    <row r="16" spans="1:11" ht="17" x14ac:dyDescent="0.2">
      <c r="A16">
        <v>15</v>
      </c>
      <c r="B16" t="s">
        <v>3</v>
      </c>
      <c r="C16" t="s">
        <v>30</v>
      </c>
      <c r="D16" s="18">
        <v>9999</v>
      </c>
      <c r="E16" s="7" t="s">
        <v>54</v>
      </c>
      <c r="F16" s="8" t="s">
        <v>7</v>
      </c>
      <c r="G16" s="21" t="s">
        <v>7</v>
      </c>
      <c r="H16" s="21" t="s">
        <v>7</v>
      </c>
      <c r="I16" s="16">
        <v>16.95</v>
      </c>
      <c r="J16" s="15" t="s">
        <v>7</v>
      </c>
      <c r="K16" s="16">
        <v>4000</v>
      </c>
    </row>
    <row r="17" spans="1:11" ht="17" x14ac:dyDescent="0.2">
      <c r="A17">
        <v>16</v>
      </c>
      <c r="B17" t="s">
        <v>3</v>
      </c>
      <c r="C17" t="s">
        <v>31</v>
      </c>
      <c r="D17" s="18">
        <v>9999</v>
      </c>
      <c r="E17" s="7" t="s">
        <v>54</v>
      </c>
      <c r="F17" s="8" t="s">
        <v>7</v>
      </c>
      <c r="G17" s="21" t="s">
        <v>7</v>
      </c>
      <c r="H17" s="21" t="s">
        <v>7</v>
      </c>
      <c r="I17" s="16">
        <v>30.95</v>
      </c>
      <c r="J17" s="15" t="s">
        <v>7</v>
      </c>
      <c r="K17" s="16">
        <v>6000</v>
      </c>
    </row>
    <row r="18" spans="1:11" x14ac:dyDescent="0.2">
      <c r="A18">
        <v>17</v>
      </c>
      <c r="B18" t="s">
        <v>1</v>
      </c>
      <c r="C18" t="s">
        <v>32</v>
      </c>
      <c r="D18" s="18">
        <v>9999</v>
      </c>
      <c r="E18" s="7" t="s">
        <v>56</v>
      </c>
      <c r="F18" s="7" t="s">
        <v>33</v>
      </c>
      <c r="G18" s="7">
        <v>23</v>
      </c>
      <c r="H18" s="7">
        <v>0</v>
      </c>
      <c r="I18" s="4">
        <v>0</v>
      </c>
      <c r="J18" s="4">
        <v>0</v>
      </c>
      <c r="K18" s="4" t="s">
        <v>7</v>
      </c>
    </row>
    <row r="19" spans="1:11" x14ac:dyDescent="0.2">
      <c r="A19">
        <v>18</v>
      </c>
      <c r="B19" t="s">
        <v>1</v>
      </c>
      <c r="C19" t="s">
        <v>35</v>
      </c>
      <c r="D19" s="18">
        <v>25</v>
      </c>
      <c r="E19" s="7" t="s">
        <v>54</v>
      </c>
      <c r="F19" s="7" t="s">
        <v>7</v>
      </c>
      <c r="G19" s="7" t="s">
        <v>7</v>
      </c>
      <c r="H19" s="7" t="s">
        <v>7</v>
      </c>
      <c r="I19" s="4">
        <v>11.95</v>
      </c>
      <c r="J19" s="4" t="s">
        <v>7</v>
      </c>
      <c r="K19" s="4">
        <v>3000</v>
      </c>
    </row>
    <row r="20" spans="1:11" x14ac:dyDescent="0.2">
      <c r="A20">
        <v>19</v>
      </c>
      <c r="B20" t="s">
        <v>1</v>
      </c>
      <c r="C20" t="s">
        <v>34</v>
      </c>
      <c r="D20" s="18">
        <v>9999</v>
      </c>
      <c r="E20" s="7" t="s">
        <v>54</v>
      </c>
      <c r="F20" s="7" t="s">
        <v>7</v>
      </c>
      <c r="G20" s="7" t="s">
        <v>7</v>
      </c>
      <c r="H20" s="7" t="s">
        <v>7</v>
      </c>
      <c r="I20" s="4">
        <v>17.95</v>
      </c>
      <c r="J20" s="4" t="s">
        <v>7</v>
      </c>
      <c r="K20" s="4">
        <v>4000</v>
      </c>
    </row>
    <row r="21" spans="1:11" x14ac:dyDescent="0.2">
      <c r="A21">
        <v>20</v>
      </c>
      <c r="B21" t="s">
        <v>1</v>
      </c>
      <c r="C21" t="s">
        <v>36</v>
      </c>
      <c r="D21" s="18">
        <v>9999</v>
      </c>
      <c r="E21" s="7" t="s">
        <v>54</v>
      </c>
      <c r="F21" s="7" t="s">
        <v>7</v>
      </c>
      <c r="G21" s="7" t="s">
        <v>7</v>
      </c>
      <c r="H21" s="7" t="s">
        <v>7</v>
      </c>
      <c r="I21" s="4">
        <v>30.95</v>
      </c>
      <c r="J21" s="4" t="s">
        <v>7</v>
      </c>
      <c r="K21" s="4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B0EB-7883-AF4A-AB92-3DFE5EFE8893}">
  <dimension ref="A1:C141"/>
  <sheetViews>
    <sheetView workbookViewId="0">
      <selection activeCell="E1" sqref="E1"/>
    </sheetView>
  </sheetViews>
  <sheetFormatPr baseColWidth="10" defaultRowHeight="16" x14ac:dyDescent="0.2"/>
  <cols>
    <col min="2" max="2" width="56.83203125" bestFit="1" customWidth="1"/>
    <col min="3" max="3" width="10.83203125" style="4"/>
  </cols>
  <sheetData>
    <row r="1" spans="1:3" ht="61" x14ac:dyDescent="0.2">
      <c r="A1" s="13" t="s">
        <v>43</v>
      </c>
      <c r="B1" s="13" t="s">
        <v>50</v>
      </c>
      <c r="C1" s="5" t="s">
        <v>51</v>
      </c>
    </row>
    <row r="2" spans="1:3" x14ac:dyDescent="0.2">
      <c r="A2">
        <v>1</v>
      </c>
      <c r="B2" t="s">
        <v>9</v>
      </c>
      <c r="C2" s="4">
        <v>0</v>
      </c>
    </row>
    <row r="3" spans="1:3" x14ac:dyDescent="0.2">
      <c r="A3">
        <v>1</v>
      </c>
      <c r="B3" t="s">
        <v>11</v>
      </c>
      <c r="C3" s="4">
        <v>0</v>
      </c>
    </row>
    <row r="4" spans="1:3" x14ac:dyDescent="0.2">
      <c r="A4">
        <v>1</v>
      </c>
      <c r="B4" t="s">
        <v>12</v>
      </c>
      <c r="C4" s="4">
        <v>0</v>
      </c>
    </row>
    <row r="5" spans="1:3" x14ac:dyDescent="0.2">
      <c r="A5">
        <v>1</v>
      </c>
      <c r="B5" t="s">
        <v>16</v>
      </c>
      <c r="C5" s="4">
        <v>0</v>
      </c>
    </row>
    <row r="6" spans="1:3" x14ac:dyDescent="0.2">
      <c r="A6">
        <v>1</v>
      </c>
      <c r="B6" t="s">
        <v>6</v>
      </c>
      <c r="C6" s="4">
        <v>5</v>
      </c>
    </row>
    <row r="7" spans="1:3" x14ac:dyDescent="0.2">
      <c r="A7">
        <v>1</v>
      </c>
      <c r="B7" t="s">
        <v>8</v>
      </c>
      <c r="C7" s="4">
        <v>0</v>
      </c>
    </row>
    <row r="8" spans="1:3" x14ac:dyDescent="0.2">
      <c r="A8">
        <v>1</v>
      </c>
      <c r="B8" t="s">
        <v>13</v>
      </c>
      <c r="C8" s="4">
        <v>0</v>
      </c>
    </row>
    <row r="9" spans="1:3" x14ac:dyDescent="0.2">
      <c r="A9">
        <v>2</v>
      </c>
      <c r="B9" t="s">
        <v>9</v>
      </c>
      <c r="C9" s="4">
        <v>0</v>
      </c>
    </row>
    <row r="10" spans="1:3" x14ac:dyDescent="0.2">
      <c r="A10">
        <v>2</v>
      </c>
      <c r="B10" t="s">
        <v>11</v>
      </c>
      <c r="C10" s="4">
        <v>0</v>
      </c>
    </row>
    <row r="11" spans="1:3" x14ac:dyDescent="0.2">
      <c r="A11">
        <v>2</v>
      </c>
      <c r="B11" t="s">
        <v>12</v>
      </c>
      <c r="C11" s="4">
        <v>0</v>
      </c>
    </row>
    <row r="12" spans="1:3" x14ac:dyDescent="0.2">
      <c r="A12">
        <v>2</v>
      </c>
      <c r="B12" t="s">
        <v>16</v>
      </c>
      <c r="C12" s="4">
        <v>0</v>
      </c>
    </row>
    <row r="13" spans="1:3" x14ac:dyDescent="0.2">
      <c r="A13">
        <v>2</v>
      </c>
      <c r="B13" t="s">
        <v>6</v>
      </c>
      <c r="C13" s="4">
        <v>5</v>
      </c>
    </row>
    <row r="14" spans="1:3" x14ac:dyDescent="0.2">
      <c r="A14">
        <v>2</v>
      </c>
      <c r="B14" t="s">
        <v>8</v>
      </c>
      <c r="C14" s="4">
        <v>0</v>
      </c>
    </row>
    <row r="15" spans="1:3" x14ac:dyDescent="0.2">
      <c r="A15">
        <v>2</v>
      </c>
      <c r="B15" t="s">
        <v>13</v>
      </c>
      <c r="C15" s="4">
        <v>0</v>
      </c>
    </row>
    <row r="16" spans="1:3" x14ac:dyDescent="0.2">
      <c r="A16">
        <v>3</v>
      </c>
      <c r="B16" s="14" t="s">
        <v>9</v>
      </c>
      <c r="C16" s="4">
        <v>1.25</v>
      </c>
    </row>
    <row r="17" spans="1:3" x14ac:dyDescent="0.2">
      <c r="A17">
        <v>3</v>
      </c>
      <c r="B17" s="14" t="s">
        <v>11</v>
      </c>
      <c r="C17" s="4">
        <v>1.25</v>
      </c>
    </row>
    <row r="18" spans="1:3" x14ac:dyDescent="0.2">
      <c r="A18">
        <v>3</v>
      </c>
      <c r="B18" s="14" t="s">
        <v>12</v>
      </c>
      <c r="C18" s="4">
        <v>1.25</v>
      </c>
    </row>
    <row r="19" spans="1:3" x14ac:dyDescent="0.2">
      <c r="A19">
        <v>3</v>
      </c>
      <c r="B19" s="14" t="s">
        <v>16</v>
      </c>
      <c r="C19" s="4">
        <v>0</v>
      </c>
    </row>
    <row r="20" spans="1:3" x14ac:dyDescent="0.2">
      <c r="A20">
        <v>3</v>
      </c>
      <c r="B20" s="14" t="s">
        <v>6</v>
      </c>
      <c r="C20" s="4">
        <v>5</v>
      </c>
    </row>
    <row r="21" spans="1:3" x14ac:dyDescent="0.2">
      <c r="A21">
        <v>3</v>
      </c>
      <c r="B21" s="14" t="s">
        <v>8</v>
      </c>
      <c r="C21" s="4">
        <v>1.25</v>
      </c>
    </row>
    <row r="22" spans="1:3" x14ac:dyDescent="0.2">
      <c r="A22">
        <v>3</v>
      </c>
      <c r="B22" s="14" t="s">
        <v>13</v>
      </c>
      <c r="C22" s="4">
        <v>1.25</v>
      </c>
    </row>
    <row r="23" spans="1:3" x14ac:dyDescent="0.2">
      <c r="A23">
        <v>4</v>
      </c>
      <c r="B23" s="14" t="s">
        <v>9</v>
      </c>
      <c r="C23" s="4">
        <v>1.25</v>
      </c>
    </row>
    <row r="24" spans="1:3" x14ac:dyDescent="0.2">
      <c r="A24">
        <v>4</v>
      </c>
      <c r="B24" s="14" t="s">
        <v>11</v>
      </c>
      <c r="C24" s="4">
        <v>1.25</v>
      </c>
    </row>
    <row r="25" spans="1:3" x14ac:dyDescent="0.2">
      <c r="A25">
        <v>4</v>
      </c>
      <c r="B25" s="14" t="s">
        <v>12</v>
      </c>
      <c r="C25" s="4">
        <v>1.25</v>
      </c>
    </row>
    <row r="26" spans="1:3" x14ac:dyDescent="0.2">
      <c r="A26">
        <v>4</v>
      </c>
      <c r="B26" s="14" t="s">
        <v>16</v>
      </c>
      <c r="C26" s="4">
        <v>0</v>
      </c>
    </row>
    <row r="27" spans="1:3" x14ac:dyDescent="0.2">
      <c r="A27">
        <v>4</v>
      </c>
      <c r="B27" s="14" t="s">
        <v>6</v>
      </c>
      <c r="C27" s="4">
        <v>5</v>
      </c>
    </row>
    <row r="28" spans="1:3" x14ac:dyDescent="0.2">
      <c r="A28">
        <v>4</v>
      </c>
      <c r="B28" s="14" t="s">
        <v>8</v>
      </c>
      <c r="C28" s="4">
        <v>1.25</v>
      </c>
    </row>
    <row r="29" spans="1:3" x14ac:dyDescent="0.2">
      <c r="A29">
        <v>4</v>
      </c>
      <c r="B29" s="14" t="s">
        <v>13</v>
      </c>
      <c r="C29" s="4">
        <v>1.25</v>
      </c>
    </row>
    <row r="30" spans="1:3" x14ac:dyDescent="0.2">
      <c r="A30">
        <v>5</v>
      </c>
      <c r="B30" s="14" t="s">
        <v>9</v>
      </c>
      <c r="C30" s="4">
        <v>0</v>
      </c>
    </row>
    <row r="31" spans="1:3" x14ac:dyDescent="0.2">
      <c r="A31">
        <v>5</v>
      </c>
      <c r="B31" s="14" t="s">
        <v>11</v>
      </c>
      <c r="C31" s="4">
        <v>0</v>
      </c>
    </row>
    <row r="32" spans="1:3" x14ac:dyDescent="0.2">
      <c r="A32">
        <v>5</v>
      </c>
      <c r="B32" s="14" t="s">
        <v>12</v>
      </c>
      <c r="C32" s="4">
        <v>0</v>
      </c>
    </row>
    <row r="33" spans="1:3" x14ac:dyDescent="0.2">
      <c r="A33">
        <v>5</v>
      </c>
      <c r="B33" s="14" t="s">
        <v>16</v>
      </c>
      <c r="C33" s="4">
        <v>0</v>
      </c>
    </row>
    <row r="34" spans="1:3" x14ac:dyDescent="0.2">
      <c r="A34">
        <v>5</v>
      </c>
      <c r="B34" s="14" t="s">
        <v>6</v>
      </c>
      <c r="C34" s="4">
        <v>0</v>
      </c>
    </row>
    <row r="35" spans="1:3" x14ac:dyDescent="0.2">
      <c r="A35">
        <v>5</v>
      </c>
      <c r="B35" s="14" t="s">
        <v>8</v>
      </c>
      <c r="C35" s="4">
        <v>0</v>
      </c>
    </row>
    <row r="36" spans="1:3" x14ac:dyDescent="0.2">
      <c r="A36">
        <v>5</v>
      </c>
      <c r="B36" s="14" t="s">
        <v>13</v>
      </c>
      <c r="C36" s="4">
        <v>0</v>
      </c>
    </row>
    <row r="37" spans="1:3" x14ac:dyDescent="0.2">
      <c r="A37">
        <v>6</v>
      </c>
      <c r="B37" s="14" t="s">
        <v>9</v>
      </c>
      <c r="C37" s="4">
        <v>0</v>
      </c>
    </row>
    <row r="38" spans="1:3" x14ac:dyDescent="0.2">
      <c r="A38">
        <v>6</v>
      </c>
      <c r="B38" s="14" t="s">
        <v>11</v>
      </c>
      <c r="C38" s="4">
        <v>0</v>
      </c>
    </row>
    <row r="39" spans="1:3" x14ac:dyDescent="0.2">
      <c r="A39">
        <v>6</v>
      </c>
      <c r="B39" s="14" t="s">
        <v>12</v>
      </c>
      <c r="C39" s="4">
        <v>0</v>
      </c>
    </row>
    <row r="40" spans="1:3" x14ac:dyDescent="0.2">
      <c r="A40">
        <v>6</v>
      </c>
      <c r="B40" s="14" t="s">
        <v>16</v>
      </c>
      <c r="C40" s="4">
        <v>0</v>
      </c>
    </row>
    <row r="41" spans="1:3" x14ac:dyDescent="0.2">
      <c r="A41">
        <v>6</v>
      </c>
      <c r="B41" s="14" t="s">
        <v>6</v>
      </c>
      <c r="C41" s="4">
        <v>5</v>
      </c>
    </row>
    <row r="42" spans="1:3" x14ac:dyDescent="0.2">
      <c r="A42">
        <v>6</v>
      </c>
      <c r="B42" s="14" t="s">
        <v>8</v>
      </c>
      <c r="C42" s="4">
        <v>0</v>
      </c>
    </row>
    <row r="43" spans="1:3" x14ac:dyDescent="0.2">
      <c r="A43">
        <v>6</v>
      </c>
      <c r="B43" s="14" t="s">
        <v>13</v>
      </c>
      <c r="C43" s="4">
        <v>0</v>
      </c>
    </row>
    <row r="44" spans="1:3" x14ac:dyDescent="0.2">
      <c r="A44">
        <v>7</v>
      </c>
      <c r="B44" s="14" t="s">
        <v>9</v>
      </c>
      <c r="C44" s="4">
        <v>1.25</v>
      </c>
    </row>
    <row r="45" spans="1:3" x14ac:dyDescent="0.2">
      <c r="A45">
        <v>7</v>
      </c>
      <c r="B45" s="14" t="s">
        <v>11</v>
      </c>
      <c r="C45" s="4">
        <v>1.25</v>
      </c>
    </row>
    <row r="46" spans="1:3" x14ac:dyDescent="0.2">
      <c r="A46">
        <v>7</v>
      </c>
      <c r="B46" s="14" t="s">
        <v>12</v>
      </c>
      <c r="C46" s="4">
        <v>1.25</v>
      </c>
    </row>
    <row r="47" spans="1:3" x14ac:dyDescent="0.2">
      <c r="A47">
        <v>7</v>
      </c>
      <c r="B47" s="14" t="s">
        <v>16</v>
      </c>
      <c r="C47" s="4">
        <v>1.25</v>
      </c>
    </row>
    <row r="48" spans="1:3" x14ac:dyDescent="0.2">
      <c r="A48">
        <v>7</v>
      </c>
      <c r="B48" s="14" t="s">
        <v>6</v>
      </c>
      <c r="C48" s="4">
        <v>5</v>
      </c>
    </row>
    <row r="49" spans="1:3" x14ac:dyDescent="0.2">
      <c r="A49">
        <v>7</v>
      </c>
      <c r="B49" s="14" t="s">
        <v>8</v>
      </c>
      <c r="C49" s="4">
        <v>1.25</v>
      </c>
    </row>
    <row r="50" spans="1:3" x14ac:dyDescent="0.2">
      <c r="A50">
        <v>7</v>
      </c>
      <c r="B50" s="14" t="s">
        <v>13</v>
      </c>
      <c r="C50" s="4">
        <v>1.25</v>
      </c>
    </row>
    <row r="51" spans="1:3" x14ac:dyDescent="0.2">
      <c r="A51">
        <v>8</v>
      </c>
      <c r="B51" s="14" t="s">
        <v>9</v>
      </c>
      <c r="C51" s="4">
        <v>0</v>
      </c>
    </row>
    <row r="52" spans="1:3" x14ac:dyDescent="0.2">
      <c r="A52">
        <v>8</v>
      </c>
      <c r="B52" s="14" t="s">
        <v>11</v>
      </c>
      <c r="C52" s="4">
        <v>0</v>
      </c>
    </row>
    <row r="53" spans="1:3" x14ac:dyDescent="0.2">
      <c r="A53">
        <v>8</v>
      </c>
      <c r="B53" s="14" t="s">
        <v>12</v>
      </c>
      <c r="C53" s="4">
        <v>0</v>
      </c>
    </row>
    <row r="54" spans="1:3" x14ac:dyDescent="0.2">
      <c r="A54">
        <v>8</v>
      </c>
      <c r="B54" s="14" t="s">
        <v>16</v>
      </c>
      <c r="C54" s="4">
        <v>0</v>
      </c>
    </row>
    <row r="55" spans="1:3" x14ac:dyDescent="0.2">
      <c r="A55">
        <v>8</v>
      </c>
      <c r="B55" s="14" t="s">
        <v>6</v>
      </c>
      <c r="C55" s="4">
        <v>0</v>
      </c>
    </row>
    <row r="56" spans="1:3" x14ac:dyDescent="0.2">
      <c r="A56">
        <v>8</v>
      </c>
      <c r="B56" s="14" t="s">
        <v>8</v>
      </c>
      <c r="C56" s="4">
        <v>0</v>
      </c>
    </row>
    <row r="57" spans="1:3" x14ac:dyDescent="0.2">
      <c r="A57">
        <v>8</v>
      </c>
      <c r="B57" s="14" t="s">
        <v>13</v>
      </c>
      <c r="C57" s="4">
        <v>0</v>
      </c>
    </row>
    <row r="58" spans="1:3" x14ac:dyDescent="0.2">
      <c r="A58">
        <v>9</v>
      </c>
      <c r="B58" s="14" t="s">
        <v>9</v>
      </c>
      <c r="C58" s="4">
        <v>1.25</v>
      </c>
    </row>
    <row r="59" spans="1:3" x14ac:dyDescent="0.2">
      <c r="A59">
        <v>9</v>
      </c>
      <c r="B59" s="14" t="s">
        <v>11</v>
      </c>
      <c r="C59" s="4">
        <v>1.25</v>
      </c>
    </row>
    <row r="60" spans="1:3" x14ac:dyDescent="0.2">
      <c r="A60">
        <v>9</v>
      </c>
      <c r="B60" s="14" t="s">
        <v>12</v>
      </c>
      <c r="C60" s="4">
        <v>1.25</v>
      </c>
    </row>
    <row r="61" spans="1:3" x14ac:dyDescent="0.2">
      <c r="A61">
        <v>9</v>
      </c>
      <c r="B61" s="14" t="s">
        <v>16</v>
      </c>
      <c r="C61" s="4">
        <v>0</v>
      </c>
    </row>
    <row r="62" spans="1:3" x14ac:dyDescent="0.2">
      <c r="A62">
        <v>9</v>
      </c>
      <c r="B62" s="14" t="s">
        <v>6</v>
      </c>
      <c r="C62" s="4">
        <v>0</v>
      </c>
    </row>
    <row r="63" spans="1:3" x14ac:dyDescent="0.2">
      <c r="A63">
        <v>9</v>
      </c>
      <c r="B63" s="14" t="s">
        <v>8</v>
      </c>
      <c r="C63" s="4">
        <v>1.25</v>
      </c>
    </row>
    <row r="64" spans="1:3" x14ac:dyDescent="0.2">
      <c r="A64">
        <v>9</v>
      </c>
      <c r="B64" s="14" t="s">
        <v>13</v>
      </c>
      <c r="C64" s="4">
        <v>1.25</v>
      </c>
    </row>
    <row r="65" spans="1:3" x14ac:dyDescent="0.2">
      <c r="A65">
        <v>10</v>
      </c>
      <c r="B65" s="14" t="s">
        <v>9</v>
      </c>
      <c r="C65" s="4">
        <v>0</v>
      </c>
    </row>
    <row r="66" spans="1:3" x14ac:dyDescent="0.2">
      <c r="A66">
        <v>10</v>
      </c>
      <c r="B66" s="14" t="s">
        <v>11</v>
      </c>
      <c r="C66" s="4">
        <v>0</v>
      </c>
    </row>
    <row r="67" spans="1:3" x14ac:dyDescent="0.2">
      <c r="A67">
        <v>10</v>
      </c>
      <c r="B67" s="14" t="s">
        <v>12</v>
      </c>
      <c r="C67" s="4">
        <v>0</v>
      </c>
    </row>
    <row r="68" spans="1:3" x14ac:dyDescent="0.2">
      <c r="A68">
        <v>10</v>
      </c>
      <c r="B68" s="14" t="s">
        <v>16</v>
      </c>
      <c r="C68" s="4">
        <v>0</v>
      </c>
    </row>
    <row r="69" spans="1:3" x14ac:dyDescent="0.2">
      <c r="A69">
        <v>10</v>
      </c>
      <c r="B69" s="14" t="s">
        <v>6</v>
      </c>
      <c r="C69" s="4">
        <v>0</v>
      </c>
    </row>
    <row r="70" spans="1:3" x14ac:dyDescent="0.2">
      <c r="A70">
        <v>10</v>
      </c>
      <c r="B70" s="14" t="s">
        <v>8</v>
      </c>
      <c r="C70" s="4">
        <v>0</v>
      </c>
    </row>
    <row r="71" spans="1:3" x14ac:dyDescent="0.2">
      <c r="A71">
        <v>10</v>
      </c>
      <c r="B71" s="14" t="s">
        <v>13</v>
      </c>
      <c r="C71" s="4">
        <v>0</v>
      </c>
    </row>
    <row r="72" spans="1:3" x14ac:dyDescent="0.2">
      <c r="A72">
        <v>11</v>
      </c>
      <c r="B72" s="14" t="s">
        <v>9</v>
      </c>
      <c r="C72" s="4">
        <v>0</v>
      </c>
    </row>
    <row r="73" spans="1:3" x14ac:dyDescent="0.2">
      <c r="A73">
        <v>11</v>
      </c>
      <c r="B73" s="14" t="s">
        <v>11</v>
      </c>
      <c r="C73" s="4">
        <v>0</v>
      </c>
    </row>
    <row r="74" spans="1:3" x14ac:dyDescent="0.2">
      <c r="A74">
        <v>11</v>
      </c>
      <c r="B74" s="14" t="s">
        <v>12</v>
      </c>
      <c r="C74" s="4">
        <v>0</v>
      </c>
    </row>
    <row r="75" spans="1:3" x14ac:dyDescent="0.2">
      <c r="A75">
        <v>11</v>
      </c>
      <c r="B75" s="14" t="s">
        <v>16</v>
      </c>
      <c r="C75" s="4">
        <v>0</v>
      </c>
    </row>
    <row r="76" spans="1:3" x14ac:dyDescent="0.2">
      <c r="A76">
        <v>11</v>
      </c>
      <c r="B76" s="14" t="s">
        <v>6</v>
      </c>
      <c r="C76" s="4">
        <v>0</v>
      </c>
    </row>
    <row r="77" spans="1:3" x14ac:dyDescent="0.2">
      <c r="A77">
        <v>11</v>
      </c>
      <c r="B77" s="14" t="s">
        <v>8</v>
      </c>
      <c r="C77" s="4">
        <v>0</v>
      </c>
    </row>
    <row r="78" spans="1:3" x14ac:dyDescent="0.2">
      <c r="A78">
        <v>11</v>
      </c>
      <c r="B78" s="14" t="s">
        <v>13</v>
      </c>
      <c r="C78" s="4">
        <v>0</v>
      </c>
    </row>
    <row r="79" spans="1:3" x14ac:dyDescent="0.2">
      <c r="A79">
        <v>12</v>
      </c>
      <c r="B79" s="14" t="s">
        <v>9</v>
      </c>
      <c r="C79" s="4">
        <v>0</v>
      </c>
    </row>
    <row r="80" spans="1:3" x14ac:dyDescent="0.2">
      <c r="A80">
        <v>12</v>
      </c>
      <c r="B80" s="14" t="s">
        <v>11</v>
      </c>
      <c r="C80" s="4">
        <v>0</v>
      </c>
    </row>
    <row r="81" spans="1:3" x14ac:dyDescent="0.2">
      <c r="A81">
        <v>12</v>
      </c>
      <c r="B81" s="14" t="s">
        <v>12</v>
      </c>
      <c r="C81" s="4">
        <v>0</v>
      </c>
    </row>
    <row r="82" spans="1:3" x14ac:dyDescent="0.2">
      <c r="A82">
        <v>12</v>
      </c>
      <c r="B82" s="14" t="s">
        <v>16</v>
      </c>
      <c r="C82" s="4">
        <v>0</v>
      </c>
    </row>
    <row r="83" spans="1:3" x14ac:dyDescent="0.2">
      <c r="A83">
        <v>12</v>
      </c>
      <c r="B83" s="14" t="s">
        <v>6</v>
      </c>
      <c r="C83" s="4">
        <v>5</v>
      </c>
    </row>
    <row r="84" spans="1:3" x14ac:dyDescent="0.2">
      <c r="A84">
        <v>12</v>
      </c>
      <c r="B84" s="14" t="s">
        <v>8</v>
      </c>
      <c r="C84" s="4">
        <v>0</v>
      </c>
    </row>
    <row r="85" spans="1:3" x14ac:dyDescent="0.2">
      <c r="A85">
        <v>12</v>
      </c>
      <c r="B85" s="14" t="s">
        <v>13</v>
      </c>
      <c r="C85" s="4">
        <v>0</v>
      </c>
    </row>
    <row r="86" spans="1:3" x14ac:dyDescent="0.2">
      <c r="A86">
        <v>13</v>
      </c>
      <c r="B86" s="14" t="s">
        <v>9</v>
      </c>
      <c r="C86" s="4">
        <v>1.25</v>
      </c>
    </row>
    <row r="87" spans="1:3" x14ac:dyDescent="0.2">
      <c r="A87">
        <v>13</v>
      </c>
      <c r="B87" s="14" t="s">
        <v>11</v>
      </c>
      <c r="C87" s="4">
        <v>1.25</v>
      </c>
    </row>
    <row r="88" spans="1:3" x14ac:dyDescent="0.2">
      <c r="A88">
        <v>13</v>
      </c>
      <c r="B88" s="14" t="s">
        <v>12</v>
      </c>
      <c r="C88" s="4">
        <v>0</v>
      </c>
    </row>
    <row r="89" spans="1:3" x14ac:dyDescent="0.2">
      <c r="A89">
        <v>13</v>
      </c>
      <c r="B89" s="14" t="s">
        <v>16</v>
      </c>
      <c r="C89" s="4">
        <v>0</v>
      </c>
    </row>
    <row r="90" spans="1:3" x14ac:dyDescent="0.2">
      <c r="A90">
        <v>13</v>
      </c>
      <c r="B90" s="14" t="s">
        <v>6</v>
      </c>
      <c r="C90" s="4">
        <v>5</v>
      </c>
    </row>
    <row r="91" spans="1:3" x14ac:dyDescent="0.2">
      <c r="A91">
        <v>13</v>
      </c>
      <c r="B91" s="14" t="s">
        <v>8</v>
      </c>
      <c r="C91" s="4">
        <v>1.25</v>
      </c>
    </row>
    <row r="92" spans="1:3" x14ac:dyDescent="0.2">
      <c r="A92">
        <v>13</v>
      </c>
      <c r="B92" s="14" t="s">
        <v>13</v>
      </c>
      <c r="C92" s="4">
        <v>1.25</v>
      </c>
    </row>
    <row r="93" spans="1:3" x14ac:dyDescent="0.2">
      <c r="A93">
        <v>14</v>
      </c>
      <c r="B93" s="14" t="s">
        <v>9</v>
      </c>
      <c r="C93" s="4">
        <v>1.25</v>
      </c>
    </row>
    <row r="94" spans="1:3" x14ac:dyDescent="0.2">
      <c r="A94">
        <v>14</v>
      </c>
      <c r="B94" s="14" t="s">
        <v>11</v>
      </c>
      <c r="C94" s="4">
        <v>1.25</v>
      </c>
    </row>
    <row r="95" spans="1:3" x14ac:dyDescent="0.2">
      <c r="A95">
        <v>14</v>
      </c>
      <c r="B95" s="14" t="s">
        <v>12</v>
      </c>
      <c r="C95" s="4">
        <v>0</v>
      </c>
    </row>
    <row r="96" spans="1:3" x14ac:dyDescent="0.2">
      <c r="A96">
        <v>14</v>
      </c>
      <c r="B96" s="14" t="s">
        <v>16</v>
      </c>
      <c r="C96" s="4">
        <v>0</v>
      </c>
    </row>
    <row r="97" spans="1:3" x14ac:dyDescent="0.2">
      <c r="A97">
        <v>14</v>
      </c>
      <c r="B97" s="14" t="s">
        <v>6</v>
      </c>
      <c r="C97" s="4">
        <v>5</v>
      </c>
    </row>
    <row r="98" spans="1:3" x14ac:dyDescent="0.2">
      <c r="A98">
        <v>14</v>
      </c>
      <c r="B98" s="14" t="s">
        <v>8</v>
      </c>
      <c r="C98" s="4">
        <v>1.25</v>
      </c>
    </row>
    <row r="99" spans="1:3" x14ac:dyDescent="0.2">
      <c r="A99">
        <v>14</v>
      </c>
      <c r="B99" s="14" t="s">
        <v>13</v>
      </c>
      <c r="C99" s="4">
        <v>1.25</v>
      </c>
    </row>
    <row r="100" spans="1:3" x14ac:dyDescent="0.2">
      <c r="A100">
        <v>15</v>
      </c>
      <c r="B100" s="14" t="s">
        <v>9</v>
      </c>
      <c r="C100" s="4">
        <v>0</v>
      </c>
    </row>
    <row r="101" spans="1:3" x14ac:dyDescent="0.2">
      <c r="A101">
        <v>15</v>
      </c>
      <c r="B101" s="14" t="s">
        <v>11</v>
      </c>
      <c r="C101" s="4">
        <v>0</v>
      </c>
    </row>
    <row r="102" spans="1:3" x14ac:dyDescent="0.2">
      <c r="A102">
        <v>15</v>
      </c>
      <c r="B102" s="14" t="s">
        <v>12</v>
      </c>
      <c r="C102" s="4">
        <v>0</v>
      </c>
    </row>
    <row r="103" spans="1:3" x14ac:dyDescent="0.2">
      <c r="A103">
        <v>15</v>
      </c>
      <c r="B103" s="14" t="s">
        <v>16</v>
      </c>
      <c r="C103" s="4">
        <v>0</v>
      </c>
    </row>
    <row r="104" spans="1:3" x14ac:dyDescent="0.2">
      <c r="A104">
        <v>15</v>
      </c>
      <c r="B104" s="14" t="s">
        <v>6</v>
      </c>
      <c r="C104" s="4">
        <v>5</v>
      </c>
    </row>
    <row r="105" spans="1:3" x14ac:dyDescent="0.2">
      <c r="A105">
        <v>15</v>
      </c>
      <c r="B105" s="14" t="s">
        <v>8</v>
      </c>
      <c r="C105" s="4">
        <v>0</v>
      </c>
    </row>
    <row r="106" spans="1:3" x14ac:dyDescent="0.2">
      <c r="A106">
        <v>15</v>
      </c>
      <c r="B106" s="14" t="s">
        <v>13</v>
      </c>
      <c r="C106" s="4">
        <v>0</v>
      </c>
    </row>
    <row r="107" spans="1:3" x14ac:dyDescent="0.2">
      <c r="A107">
        <v>16</v>
      </c>
      <c r="B107" s="14" t="s">
        <v>9</v>
      </c>
      <c r="C107" s="4">
        <v>0</v>
      </c>
    </row>
    <row r="108" spans="1:3" x14ac:dyDescent="0.2">
      <c r="A108">
        <v>16</v>
      </c>
      <c r="B108" s="14" t="s">
        <v>11</v>
      </c>
      <c r="C108" s="4">
        <v>0</v>
      </c>
    </row>
    <row r="109" spans="1:3" x14ac:dyDescent="0.2">
      <c r="A109">
        <v>16</v>
      </c>
      <c r="B109" s="14" t="s">
        <v>12</v>
      </c>
      <c r="C109" s="4">
        <v>0</v>
      </c>
    </row>
    <row r="110" spans="1:3" x14ac:dyDescent="0.2">
      <c r="A110">
        <v>16</v>
      </c>
      <c r="B110" s="14" t="s">
        <v>16</v>
      </c>
      <c r="C110" s="4">
        <v>0</v>
      </c>
    </row>
    <row r="111" spans="1:3" x14ac:dyDescent="0.2">
      <c r="A111">
        <v>16</v>
      </c>
      <c r="B111" s="14" t="s">
        <v>6</v>
      </c>
      <c r="C111" s="4">
        <v>0</v>
      </c>
    </row>
    <row r="112" spans="1:3" x14ac:dyDescent="0.2">
      <c r="A112">
        <v>16</v>
      </c>
      <c r="B112" s="14" t="s">
        <v>8</v>
      </c>
      <c r="C112" s="4">
        <v>0</v>
      </c>
    </row>
    <row r="113" spans="1:3" x14ac:dyDescent="0.2">
      <c r="A113">
        <v>16</v>
      </c>
      <c r="B113" s="14" t="s">
        <v>13</v>
      </c>
      <c r="C113" s="4">
        <v>0</v>
      </c>
    </row>
    <row r="114" spans="1:3" x14ac:dyDescent="0.2">
      <c r="A114">
        <v>17</v>
      </c>
      <c r="B114" s="14" t="s">
        <v>9</v>
      </c>
      <c r="C114" s="4">
        <v>0</v>
      </c>
    </row>
    <row r="115" spans="1:3" x14ac:dyDescent="0.2">
      <c r="A115">
        <v>17</v>
      </c>
      <c r="B115" s="14" t="s">
        <v>11</v>
      </c>
      <c r="C115" s="4">
        <v>0</v>
      </c>
    </row>
    <row r="116" spans="1:3" x14ac:dyDescent="0.2">
      <c r="A116">
        <v>17</v>
      </c>
      <c r="B116" s="14" t="s">
        <v>12</v>
      </c>
      <c r="C116" s="4">
        <v>0</v>
      </c>
    </row>
    <row r="117" spans="1:3" x14ac:dyDescent="0.2">
      <c r="A117">
        <v>17</v>
      </c>
      <c r="B117" s="14" t="s">
        <v>16</v>
      </c>
      <c r="C117" s="4">
        <v>0</v>
      </c>
    </row>
    <row r="118" spans="1:3" x14ac:dyDescent="0.2">
      <c r="A118">
        <v>17</v>
      </c>
      <c r="B118" s="14" t="s">
        <v>6</v>
      </c>
      <c r="C118" s="4">
        <v>5</v>
      </c>
    </row>
    <row r="119" spans="1:3" x14ac:dyDescent="0.2">
      <c r="A119">
        <v>17</v>
      </c>
      <c r="B119" s="14" t="s">
        <v>8</v>
      </c>
      <c r="C119" s="4">
        <v>0</v>
      </c>
    </row>
    <row r="120" spans="1:3" x14ac:dyDescent="0.2">
      <c r="A120">
        <v>17</v>
      </c>
      <c r="B120" s="14" t="s">
        <v>13</v>
      </c>
      <c r="C120" s="4">
        <v>0</v>
      </c>
    </row>
    <row r="121" spans="1:3" x14ac:dyDescent="0.2">
      <c r="A121">
        <v>18</v>
      </c>
      <c r="B121" s="14" t="s">
        <v>9</v>
      </c>
      <c r="C121" s="4">
        <v>1.25</v>
      </c>
    </row>
    <row r="122" spans="1:3" x14ac:dyDescent="0.2">
      <c r="A122">
        <v>18</v>
      </c>
      <c r="B122" s="14" t="s">
        <v>11</v>
      </c>
      <c r="C122" s="4">
        <v>1.25</v>
      </c>
    </row>
    <row r="123" spans="1:3" x14ac:dyDescent="0.2">
      <c r="A123">
        <v>18</v>
      </c>
      <c r="B123" s="14" t="s">
        <v>12</v>
      </c>
      <c r="C123" s="4">
        <v>1.25</v>
      </c>
    </row>
    <row r="124" spans="1:3" x14ac:dyDescent="0.2">
      <c r="A124">
        <v>18</v>
      </c>
      <c r="B124" s="14" t="s">
        <v>16</v>
      </c>
      <c r="C124" s="4">
        <v>0</v>
      </c>
    </row>
    <row r="125" spans="1:3" x14ac:dyDescent="0.2">
      <c r="A125">
        <v>18</v>
      </c>
      <c r="B125" s="14" t="s">
        <v>6</v>
      </c>
      <c r="C125" s="4">
        <v>5</v>
      </c>
    </row>
    <row r="126" spans="1:3" x14ac:dyDescent="0.2">
      <c r="A126">
        <v>18</v>
      </c>
      <c r="B126" s="14" t="s">
        <v>8</v>
      </c>
      <c r="C126" s="4">
        <v>1.25</v>
      </c>
    </row>
    <row r="127" spans="1:3" x14ac:dyDescent="0.2">
      <c r="A127">
        <v>18</v>
      </c>
      <c r="B127" s="14" t="s">
        <v>13</v>
      </c>
      <c r="C127" s="4">
        <v>1.25</v>
      </c>
    </row>
    <row r="128" spans="1:3" x14ac:dyDescent="0.2">
      <c r="A128">
        <v>19</v>
      </c>
      <c r="B128" s="14" t="s">
        <v>9</v>
      </c>
      <c r="C128" s="4">
        <v>0</v>
      </c>
    </row>
    <row r="129" spans="1:3" x14ac:dyDescent="0.2">
      <c r="A129">
        <v>19</v>
      </c>
      <c r="B129" s="14" t="s">
        <v>11</v>
      </c>
      <c r="C129" s="4">
        <v>0</v>
      </c>
    </row>
    <row r="130" spans="1:3" x14ac:dyDescent="0.2">
      <c r="A130">
        <v>19</v>
      </c>
      <c r="B130" s="14" t="s">
        <v>12</v>
      </c>
      <c r="C130" s="4">
        <v>0</v>
      </c>
    </row>
    <row r="131" spans="1:3" x14ac:dyDescent="0.2">
      <c r="A131">
        <v>19</v>
      </c>
      <c r="B131" s="14" t="s">
        <v>16</v>
      </c>
      <c r="C131" s="4">
        <v>0</v>
      </c>
    </row>
    <row r="132" spans="1:3" x14ac:dyDescent="0.2">
      <c r="A132">
        <v>19</v>
      </c>
      <c r="B132" s="14" t="s">
        <v>6</v>
      </c>
      <c r="C132" s="4">
        <v>5</v>
      </c>
    </row>
    <row r="133" spans="1:3" x14ac:dyDescent="0.2">
      <c r="A133">
        <v>19</v>
      </c>
      <c r="B133" s="14" t="s">
        <v>8</v>
      </c>
      <c r="C133" s="4">
        <v>0</v>
      </c>
    </row>
    <row r="134" spans="1:3" x14ac:dyDescent="0.2">
      <c r="A134">
        <v>19</v>
      </c>
      <c r="B134" s="14" t="s">
        <v>13</v>
      </c>
      <c r="C134" s="4">
        <v>0</v>
      </c>
    </row>
    <row r="135" spans="1:3" x14ac:dyDescent="0.2">
      <c r="A135">
        <v>20</v>
      </c>
      <c r="B135" s="14" t="s">
        <v>9</v>
      </c>
      <c r="C135" s="4">
        <v>0</v>
      </c>
    </row>
    <row r="136" spans="1:3" x14ac:dyDescent="0.2">
      <c r="A136">
        <v>20</v>
      </c>
      <c r="B136" s="14" t="s">
        <v>11</v>
      </c>
      <c r="C136" s="4">
        <v>0</v>
      </c>
    </row>
    <row r="137" spans="1:3" x14ac:dyDescent="0.2">
      <c r="A137">
        <v>20</v>
      </c>
      <c r="B137" s="14" t="s">
        <v>12</v>
      </c>
      <c r="C137" s="4">
        <v>0</v>
      </c>
    </row>
    <row r="138" spans="1:3" x14ac:dyDescent="0.2">
      <c r="A138">
        <v>20</v>
      </c>
      <c r="B138" s="14" t="s">
        <v>16</v>
      </c>
      <c r="C138" s="4">
        <v>0</v>
      </c>
    </row>
    <row r="139" spans="1:3" x14ac:dyDescent="0.2">
      <c r="A139">
        <v>20</v>
      </c>
      <c r="B139" s="14" t="s">
        <v>6</v>
      </c>
      <c r="C139" s="4">
        <v>5</v>
      </c>
    </row>
    <row r="140" spans="1:3" x14ac:dyDescent="0.2">
      <c r="A140">
        <v>20</v>
      </c>
      <c r="B140" s="14" t="s">
        <v>8</v>
      </c>
      <c r="C140" s="4">
        <v>0</v>
      </c>
    </row>
    <row r="141" spans="1:3" x14ac:dyDescent="0.2">
      <c r="A141">
        <v>20</v>
      </c>
      <c r="B141" s="14" t="s">
        <v>13</v>
      </c>
      <c r="C14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1E53-2E2A-D14D-8F58-C33C8DAA1ECD}">
  <dimension ref="A1:N10"/>
  <sheetViews>
    <sheetView workbookViewId="0">
      <selection activeCell="H18" sqref="H18"/>
    </sheetView>
  </sheetViews>
  <sheetFormatPr baseColWidth="10" defaultRowHeight="16" x14ac:dyDescent="0.2"/>
  <cols>
    <col min="4" max="4" width="19.83203125" customWidth="1"/>
    <col min="5" max="5" width="27" bestFit="1" customWidth="1"/>
    <col min="6" max="6" width="23.33203125" style="4" customWidth="1"/>
    <col min="7" max="7" width="14.5" bestFit="1" customWidth="1"/>
    <col min="8" max="8" width="15" bestFit="1" customWidth="1"/>
    <col min="9" max="9" width="19.1640625" bestFit="1" customWidth="1"/>
    <col min="10" max="10" width="14.1640625" bestFit="1" customWidth="1"/>
    <col min="11" max="11" width="10" bestFit="1" customWidth="1"/>
    <col min="12" max="12" width="12.33203125" bestFit="1" customWidth="1"/>
    <col min="13" max="13" width="12.33203125" customWidth="1"/>
    <col min="14" max="14" width="18.6640625" style="4" bestFit="1" customWidth="1"/>
  </cols>
  <sheetData>
    <row r="1" spans="1:14" s="2" customFormat="1" ht="162" x14ac:dyDescent="0.2">
      <c r="A1" s="2" t="s">
        <v>60</v>
      </c>
      <c r="B1" s="2" t="s">
        <v>57</v>
      </c>
      <c r="C1" s="2" t="s">
        <v>58</v>
      </c>
      <c r="D1" s="2" t="s">
        <v>80</v>
      </c>
      <c r="E1" s="13" t="s">
        <v>86</v>
      </c>
      <c r="F1" s="3" t="s">
        <v>59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87</v>
      </c>
      <c r="N1" s="3" t="s">
        <v>67</v>
      </c>
    </row>
    <row r="2" spans="1:14" x14ac:dyDescent="0.2">
      <c r="A2">
        <v>1</v>
      </c>
      <c r="B2" t="s">
        <v>74</v>
      </c>
      <c r="C2">
        <v>21</v>
      </c>
      <c r="D2" t="s">
        <v>56</v>
      </c>
      <c r="E2">
        <v>13</v>
      </c>
      <c r="F2" s="4">
        <v>1500</v>
      </c>
      <c r="G2">
        <v>12</v>
      </c>
      <c r="H2">
        <v>2</v>
      </c>
      <c r="I2">
        <v>0</v>
      </c>
      <c r="J2">
        <v>1</v>
      </c>
      <c r="K2">
        <v>3</v>
      </c>
      <c r="L2">
        <v>2</v>
      </c>
      <c r="M2">
        <f>SUM($G2:$L2)</f>
        <v>20</v>
      </c>
      <c r="N2" s="4">
        <v>400</v>
      </c>
    </row>
    <row r="3" spans="1:14" x14ac:dyDescent="0.2">
      <c r="A3">
        <v>2</v>
      </c>
      <c r="B3" t="s">
        <v>75</v>
      </c>
      <c r="C3">
        <v>23</v>
      </c>
      <c r="D3" t="s">
        <v>56</v>
      </c>
      <c r="E3">
        <v>20</v>
      </c>
      <c r="F3" s="4">
        <v>1300</v>
      </c>
      <c r="G3">
        <v>8</v>
      </c>
      <c r="H3">
        <v>1</v>
      </c>
      <c r="I3">
        <v>0</v>
      </c>
      <c r="J3">
        <v>1</v>
      </c>
      <c r="K3">
        <v>2</v>
      </c>
      <c r="L3">
        <v>1</v>
      </c>
      <c r="M3">
        <f>SUM($G3:$L3)</f>
        <v>13</v>
      </c>
      <c r="N3" s="4">
        <v>250</v>
      </c>
    </row>
    <row r="4" spans="1:14" x14ac:dyDescent="0.2">
      <c r="A4">
        <v>3</v>
      </c>
      <c r="B4" t="s">
        <v>76</v>
      </c>
      <c r="C4">
        <v>27</v>
      </c>
      <c r="D4" t="s">
        <v>81</v>
      </c>
      <c r="E4">
        <f>-(4)</f>
        <v>-4</v>
      </c>
      <c r="F4" s="4">
        <v>5000</v>
      </c>
      <c r="G4">
        <v>25</v>
      </c>
      <c r="H4">
        <v>3</v>
      </c>
      <c r="I4">
        <v>1</v>
      </c>
      <c r="J4">
        <v>3</v>
      </c>
      <c r="K4">
        <v>5</v>
      </c>
      <c r="L4">
        <v>4</v>
      </c>
      <c r="M4">
        <f t="shared" ref="M4:M10" si="0">SUM($G4:$L4)</f>
        <v>41</v>
      </c>
      <c r="N4" s="4">
        <v>3000</v>
      </c>
    </row>
    <row r="5" spans="1:14" x14ac:dyDescent="0.2">
      <c r="A5">
        <v>4</v>
      </c>
      <c r="B5" t="s">
        <v>77</v>
      </c>
      <c r="C5">
        <v>26</v>
      </c>
      <c r="D5" t="s">
        <v>56</v>
      </c>
      <c r="E5">
        <v>15</v>
      </c>
      <c r="F5" s="4">
        <v>2000</v>
      </c>
      <c r="G5">
        <v>15</v>
      </c>
      <c r="H5">
        <v>2</v>
      </c>
      <c r="I5">
        <v>0</v>
      </c>
      <c r="J5">
        <v>2</v>
      </c>
      <c r="K5">
        <v>3</v>
      </c>
      <c r="L5">
        <v>2</v>
      </c>
      <c r="M5">
        <f t="shared" si="0"/>
        <v>24</v>
      </c>
      <c r="N5" s="4">
        <v>800</v>
      </c>
    </row>
    <row r="6" spans="1:14" x14ac:dyDescent="0.2">
      <c r="A6">
        <v>5</v>
      </c>
      <c r="B6" t="s">
        <v>78</v>
      </c>
      <c r="C6">
        <v>25</v>
      </c>
      <c r="D6" t="s">
        <v>56</v>
      </c>
      <c r="E6">
        <v>3</v>
      </c>
      <c r="F6" s="4">
        <v>7000</v>
      </c>
      <c r="G6">
        <v>30</v>
      </c>
      <c r="H6">
        <v>3</v>
      </c>
      <c r="I6">
        <v>0</v>
      </c>
      <c r="J6">
        <v>4</v>
      </c>
      <c r="K6">
        <v>6</v>
      </c>
      <c r="L6">
        <v>3</v>
      </c>
      <c r="M6">
        <f t="shared" si="0"/>
        <v>46</v>
      </c>
      <c r="N6" s="4">
        <v>5000</v>
      </c>
    </row>
    <row r="7" spans="1:14" x14ac:dyDescent="0.2">
      <c r="A7">
        <v>6</v>
      </c>
      <c r="B7" t="s">
        <v>79</v>
      </c>
      <c r="C7">
        <v>24</v>
      </c>
      <c r="D7" t="s">
        <v>81</v>
      </c>
      <c r="E7">
        <f>-(9)</f>
        <v>-9</v>
      </c>
      <c r="F7" s="4">
        <v>2000</v>
      </c>
      <c r="G7">
        <v>18</v>
      </c>
      <c r="H7">
        <v>2</v>
      </c>
      <c r="I7">
        <v>1</v>
      </c>
      <c r="J7">
        <v>2</v>
      </c>
      <c r="K7">
        <v>3</v>
      </c>
      <c r="L7">
        <v>3</v>
      </c>
      <c r="M7">
        <f t="shared" si="0"/>
        <v>29</v>
      </c>
      <c r="N7" s="4">
        <v>900</v>
      </c>
    </row>
    <row r="8" spans="1:14" x14ac:dyDescent="0.2">
      <c r="A8">
        <v>7</v>
      </c>
      <c r="B8" t="s">
        <v>82</v>
      </c>
      <c r="C8">
        <v>17</v>
      </c>
      <c r="D8" t="s">
        <v>85</v>
      </c>
      <c r="E8">
        <v>31</v>
      </c>
      <c r="F8" s="4">
        <v>500</v>
      </c>
      <c r="G8">
        <v>5</v>
      </c>
      <c r="H8">
        <v>1</v>
      </c>
      <c r="I8">
        <v>0</v>
      </c>
      <c r="J8">
        <v>0</v>
      </c>
      <c r="K8">
        <v>1</v>
      </c>
      <c r="L8">
        <v>0</v>
      </c>
      <c r="M8">
        <f t="shared" si="0"/>
        <v>7</v>
      </c>
      <c r="N8" s="4">
        <v>150</v>
      </c>
    </row>
    <row r="9" spans="1:14" x14ac:dyDescent="0.2">
      <c r="A9">
        <v>8</v>
      </c>
      <c r="B9" t="s">
        <v>83</v>
      </c>
      <c r="C9">
        <v>20</v>
      </c>
      <c r="D9" t="s">
        <v>56</v>
      </c>
      <c r="E9">
        <v>7</v>
      </c>
      <c r="F9" s="4">
        <v>3000</v>
      </c>
      <c r="G9">
        <v>20</v>
      </c>
      <c r="H9">
        <v>2</v>
      </c>
      <c r="I9">
        <v>0</v>
      </c>
      <c r="J9">
        <v>2</v>
      </c>
      <c r="K9">
        <v>4</v>
      </c>
      <c r="L9">
        <v>2</v>
      </c>
      <c r="M9">
        <f t="shared" si="0"/>
        <v>30</v>
      </c>
      <c r="N9" s="4">
        <v>1200</v>
      </c>
    </row>
    <row r="10" spans="1:14" x14ac:dyDescent="0.2">
      <c r="A10">
        <v>9</v>
      </c>
      <c r="B10" t="s">
        <v>84</v>
      </c>
      <c r="C10">
        <v>22</v>
      </c>
      <c r="D10" t="s">
        <v>81</v>
      </c>
      <c r="E10">
        <f>-(15)</f>
        <v>-15</v>
      </c>
      <c r="F10" s="4">
        <v>1800</v>
      </c>
      <c r="G10">
        <v>14</v>
      </c>
      <c r="H10">
        <v>2</v>
      </c>
      <c r="I10">
        <v>0</v>
      </c>
      <c r="J10">
        <v>1</v>
      </c>
      <c r="K10">
        <v>2</v>
      </c>
      <c r="L10">
        <v>2</v>
      </c>
      <c r="M10">
        <f t="shared" si="0"/>
        <v>21</v>
      </c>
      <c r="N10" s="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PlanAnalysisTables</vt:lpstr>
      <vt:lpstr>accounts_info</vt:lpstr>
      <vt:lpstr>fee_details</vt:lpstr>
      <vt:lpstr>student_profiles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Helyanny Perozo</dc:creator>
  <cp:lastModifiedBy>Helyanny Perozo</cp:lastModifiedBy>
  <dcterms:created xsi:type="dcterms:W3CDTF">2026-09-19T01:06:57Z</dcterms:created>
  <dcterms:modified xsi:type="dcterms:W3CDTF">2026-09-27T02:04:47Z</dcterms:modified>
</cp:coreProperties>
</file>